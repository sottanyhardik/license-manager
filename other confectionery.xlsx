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8_{06C33EEE-6164-2F4F-A404-DE802FFB2AF1}" xr6:coauthVersionLast="47" xr6:coauthVersionMax="47" xr10:uidLastSave="{00000000-0000-0000-0000-000000000000}"/>
  <bookViews>
    <workbookView xWindow="380" yWindow="500" windowWidth="28040" windowHeight="16280"/>
  </bookViews>
  <sheets>
    <sheet name="other confection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34" i="1"/>
  <c r="H59" i="1"/>
  <c r="G59" i="1"/>
  <c r="F59" i="1"/>
  <c r="E59" i="1"/>
  <c r="D59" i="1"/>
</calcChain>
</file>

<file path=xl/sharedStrings.xml><?xml version="1.0" encoding="utf-8"?>
<sst xmlns="http://schemas.openxmlformats.org/spreadsheetml/2006/main" count="123" uniqueCount="67">
  <si>
    <t>DFIA No</t>
  </si>
  <si>
    <t>DFIA DT</t>
  </si>
  <si>
    <t>DFIA Exp DT</t>
  </si>
  <si>
    <t>Before Qty</t>
  </si>
  <si>
    <t>After Qty</t>
  </si>
  <si>
    <t>Debited Qty</t>
  </si>
  <si>
    <t>Debited Value CIF</t>
  </si>
  <si>
    <t>Debited Value INR</t>
  </si>
  <si>
    <t>Item</t>
  </si>
  <si>
    <t>'0310830088</t>
  </si>
  <si>
    <t>other confectionery</t>
  </si>
  <si>
    <t>'0310830463</t>
  </si>
  <si>
    <t>'0310831630</t>
  </si>
  <si>
    <t>'0310832398</t>
  </si>
  <si>
    <t>'0310832430</t>
  </si>
  <si>
    <t>'0310832432</t>
  </si>
  <si>
    <t>'0310832433</t>
  </si>
  <si>
    <t>'0310832464</t>
  </si>
  <si>
    <t>'0310833286</t>
  </si>
  <si>
    <t>'0310833303</t>
  </si>
  <si>
    <t>'0310833304</t>
  </si>
  <si>
    <t>'0310833305</t>
  </si>
  <si>
    <t>'0310833310</t>
  </si>
  <si>
    <t>'0310833321</t>
  </si>
  <si>
    <t>'0310833322</t>
  </si>
  <si>
    <t>'0310833996</t>
  </si>
  <si>
    <t>'0310834151</t>
  </si>
  <si>
    <t>'0310834153</t>
  </si>
  <si>
    <t>'0310834613</t>
  </si>
  <si>
    <t>'0310834614</t>
  </si>
  <si>
    <t>'0310834746</t>
  </si>
  <si>
    <t>'0310834825</t>
  </si>
  <si>
    <t>'0310834960</t>
  </si>
  <si>
    <t>'0310834962</t>
  </si>
  <si>
    <t>'0310834980</t>
  </si>
  <si>
    <t>'0310835112</t>
  </si>
  <si>
    <t>'0310835198</t>
  </si>
  <si>
    <t>'0310835231</t>
  </si>
  <si>
    <t>'0310835311</t>
  </si>
  <si>
    <t>'0310835516</t>
  </si>
  <si>
    <t>'0310835584</t>
  </si>
  <si>
    <t>'0310837230</t>
  </si>
  <si>
    <t>'0310837231</t>
  </si>
  <si>
    <t>'0310838034</t>
  </si>
  <si>
    <t>'0310838036</t>
  </si>
  <si>
    <t>'0310838039</t>
  </si>
  <si>
    <t>'0310838176</t>
  </si>
  <si>
    <t>'0310838205</t>
  </si>
  <si>
    <t>'0310838320</t>
  </si>
  <si>
    <t>'0310838322</t>
  </si>
  <si>
    <t>'0310838326</t>
  </si>
  <si>
    <t>'0310838414</t>
  </si>
  <si>
    <t>'0310838475</t>
  </si>
  <si>
    <t>'0310838478</t>
  </si>
  <si>
    <t>'0310838697</t>
  </si>
  <si>
    <t>'0310838758</t>
  </si>
  <si>
    <t>'0310838862</t>
  </si>
  <si>
    <t>'0310838869</t>
  </si>
  <si>
    <t>'0310838966</t>
  </si>
  <si>
    <t>'0310839062</t>
  </si>
  <si>
    <t>'0310839116</t>
  </si>
  <si>
    <t>'0310839125</t>
  </si>
  <si>
    <t>'0310839139</t>
  </si>
  <si>
    <t>'0310839625</t>
  </si>
  <si>
    <t>'0310839650</t>
  </si>
  <si>
    <t>0310837138</t>
  </si>
  <si>
    <t>0310835522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</si>
</sst>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  <xf numFmtId="43" fontId="16" fillId="0" borderId="10" xfId="1" applyFont="1" applyBorder="1"/>
    <xf numFmtId="43" fontId="0" fillId="0" borderId="10" xfId="1" applyFont="1" applyBorder="1"/>
    <xf numFmtId="43" fontId="0" fillId="0" borderId="0" xfId="1" applyFont="1"/>
    <xf numFmtId="0" fontId="0" fillId="0" borderId="10" xfId="0" quotePrefix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H32" sqref="H32"/>
    </sheetView>
  </sheetViews>
  <sheetFormatPr baseColWidth="10" defaultRowHeight="16" x14ac:dyDescent="0.2"/>
  <cols>
    <col min="1" max="1" width="11.6640625" bestFit="1" customWidth="1"/>
    <col min="2" max="2" width="8.83203125" bestFit="1" customWidth="1"/>
    <col min="3" max="3" width="11" bestFit="1" customWidth="1"/>
    <col min="4" max="5" width="12.33203125" style="6" bestFit="1" customWidth="1"/>
    <col min="6" max="6" width="13" style="6" bestFit="1" customWidth="1"/>
    <col min="7" max="7" width="15.83203125" style="6" bestFit="1" customWidth="1"/>
    <col min="8" max="8" width="16.5" style="6" bestFit="1" customWidth="1"/>
    <col min="9" max="9" width="17.1640625" bestFit="1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</row>
    <row r="2" spans="1:9" x14ac:dyDescent="0.2">
      <c r="A2" s="1" t="s">
        <v>9</v>
      </c>
      <c r="B2" s="2">
        <v>43650</v>
      </c>
      <c r="C2" s="2">
        <v>44227</v>
      </c>
      <c r="D2" s="5">
        <v>0</v>
      </c>
      <c r="E2" s="5">
        <v>8096.32</v>
      </c>
      <c r="F2" s="5">
        <v>1166</v>
      </c>
      <c r="G2" s="5">
        <v>2366.23</v>
      </c>
      <c r="H2" s="5">
        <v>175101.27</v>
      </c>
      <c r="I2" s="1" t="s">
        <v>10</v>
      </c>
    </row>
    <row r="3" spans="1:9" x14ac:dyDescent="0.2">
      <c r="A3" s="1" t="s">
        <v>11</v>
      </c>
      <c r="B3" s="2">
        <v>43668</v>
      </c>
      <c r="C3" s="2">
        <v>44227</v>
      </c>
      <c r="D3" s="5">
        <v>0</v>
      </c>
      <c r="E3" s="5">
        <v>10882.77</v>
      </c>
      <c r="F3" s="5">
        <v>1476</v>
      </c>
      <c r="G3" s="5">
        <v>2995.33</v>
      </c>
      <c r="H3" s="5">
        <v>221654.36</v>
      </c>
      <c r="I3" s="1" t="s">
        <v>10</v>
      </c>
    </row>
    <row r="4" spans="1:9" x14ac:dyDescent="0.2">
      <c r="A4" s="1" t="s">
        <v>12</v>
      </c>
      <c r="B4" s="2">
        <v>43727</v>
      </c>
      <c r="C4" s="2">
        <v>44104</v>
      </c>
      <c r="D4" s="5">
        <v>37215.538079999998</v>
      </c>
      <c r="E4" s="5">
        <v>34692.98992</v>
      </c>
      <c r="F4" s="5">
        <v>116295</v>
      </c>
      <c r="G4" s="5">
        <v>127071.06</v>
      </c>
      <c r="H4" s="5">
        <v>9168177</v>
      </c>
      <c r="I4" s="1" t="s">
        <v>10</v>
      </c>
    </row>
    <row r="5" spans="1:9" x14ac:dyDescent="0.2">
      <c r="A5" s="1" t="s">
        <v>13</v>
      </c>
      <c r="B5" s="2">
        <v>43761</v>
      </c>
      <c r="C5" s="2">
        <v>44135</v>
      </c>
      <c r="D5" s="5">
        <v>15815.552</v>
      </c>
      <c r="E5" s="5">
        <v>2776.56</v>
      </c>
      <c r="F5" s="5">
        <v>49297</v>
      </c>
      <c r="G5" s="5">
        <v>3306.06</v>
      </c>
      <c r="H5" s="5">
        <v>256715.23</v>
      </c>
      <c r="I5" s="1" t="s">
        <v>10</v>
      </c>
    </row>
    <row r="6" spans="1:9" x14ac:dyDescent="0.2">
      <c r="A6" s="1" t="s">
        <v>14</v>
      </c>
      <c r="B6" s="2">
        <v>43762</v>
      </c>
      <c r="C6" s="2">
        <v>44135</v>
      </c>
      <c r="D6" s="5">
        <v>15288.048000000001</v>
      </c>
      <c r="E6" s="5">
        <v>2910.9760000000001</v>
      </c>
      <c r="F6" s="5">
        <v>47772</v>
      </c>
      <c r="G6" s="5">
        <v>23138.38</v>
      </c>
      <c r="H6" s="5">
        <v>1768928.97</v>
      </c>
      <c r="I6" s="1" t="s">
        <v>10</v>
      </c>
    </row>
    <row r="7" spans="1:9" x14ac:dyDescent="0.2">
      <c r="A7" s="1" t="s">
        <v>15</v>
      </c>
      <c r="B7" s="2">
        <v>43762</v>
      </c>
      <c r="C7" s="2">
        <v>44135</v>
      </c>
      <c r="D7" s="5">
        <v>14404.335999999999</v>
      </c>
      <c r="E7" s="5">
        <v>1466.6559999999899</v>
      </c>
      <c r="F7" s="5">
        <v>44929</v>
      </c>
      <c r="G7" s="5">
        <v>61593.84</v>
      </c>
      <c r="H7" s="5">
        <v>4702689.5199999996</v>
      </c>
      <c r="I7" s="1" t="s">
        <v>10</v>
      </c>
    </row>
    <row r="8" spans="1:9" x14ac:dyDescent="0.2">
      <c r="A8" s="1" t="s">
        <v>16</v>
      </c>
      <c r="B8" s="2">
        <v>43762</v>
      </c>
      <c r="C8" s="2">
        <v>44135</v>
      </c>
      <c r="D8" s="5">
        <v>13875.44</v>
      </c>
      <c r="E8" s="5">
        <v>1324.6880000000001</v>
      </c>
      <c r="F8" s="5">
        <v>43318</v>
      </c>
      <c r="G8" s="5">
        <v>62614.7</v>
      </c>
      <c r="H8" s="5">
        <v>4862031.5599999996</v>
      </c>
      <c r="I8" s="1" t="s">
        <v>10</v>
      </c>
    </row>
    <row r="9" spans="1:9" x14ac:dyDescent="0.2">
      <c r="A9" s="1" t="s">
        <v>17</v>
      </c>
      <c r="B9" s="2">
        <v>43763</v>
      </c>
      <c r="C9" s="2">
        <v>44129</v>
      </c>
      <c r="D9" s="5">
        <v>12462.255999999999</v>
      </c>
      <c r="E9" s="5">
        <v>1078.096</v>
      </c>
      <c r="F9" s="5">
        <v>38902</v>
      </c>
      <c r="G9" s="5">
        <v>61553.84</v>
      </c>
      <c r="H9" s="5">
        <v>4699635.5199999996</v>
      </c>
      <c r="I9" s="1" t="s">
        <v>10</v>
      </c>
    </row>
    <row r="10" spans="1:9" x14ac:dyDescent="0.2">
      <c r="A10" s="1" t="s">
        <v>18</v>
      </c>
      <c r="B10" s="2">
        <v>43808</v>
      </c>
      <c r="C10" s="2">
        <v>44196</v>
      </c>
      <c r="D10" s="5">
        <v>14237.6</v>
      </c>
      <c r="E10" s="5">
        <v>1289.24799999999</v>
      </c>
      <c r="F10" s="5">
        <v>44491</v>
      </c>
      <c r="G10" s="5">
        <v>10060.93</v>
      </c>
      <c r="H10" s="5">
        <v>768152</v>
      </c>
      <c r="I10" s="1" t="s">
        <v>10</v>
      </c>
    </row>
    <row r="11" spans="1:9" x14ac:dyDescent="0.2">
      <c r="A11" s="1" t="s">
        <v>19</v>
      </c>
      <c r="B11" s="2">
        <v>43808</v>
      </c>
      <c r="C11" s="2">
        <v>44196</v>
      </c>
      <c r="D11" s="5">
        <v>14305.584000000001</v>
      </c>
      <c r="E11" s="5">
        <v>1378</v>
      </c>
      <c r="F11" s="5">
        <v>44700</v>
      </c>
      <c r="G11" s="5">
        <v>13033.98</v>
      </c>
      <c r="H11" s="5">
        <v>995796</v>
      </c>
      <c r="I11" s="1" t="s">
        <v>10</v>
      </c>
    </row>
    <row r="12" spans="1:9" x14ac:dyDescent="0.2">
      <c r="A12" s="1" t="s">
        <v>20</v>
      </c>
      <c r="B12" s="2">
        <v>43808</v>
      </c>
      <c r="C12" s="2">
        <v>44196</v>
      </c>
      <c r="D12" s="5">
        <v>134879.47200000001</v>
      </c>
      <c r="E12" s="5">
        <v>63842</v>
      </c>
      <c r="F12" s="5">
        <v>458227</v>
      </c>
      <c r="G12" s="5">
        <v>95450</v>
      </c>
      <c r="H12" s="5">
        <v>7111025</v>
      </c>
      <c r="I12" s="1" t="s">
        <v>10</v>
      </c>
    </row>
    <row r="13" spans="1:9" x14ac:dyDescent="0.2">
      <c r="A13" s="1" t="s">
        <v>21</v>
      </c>
      <c r="B13" s="2">
        <v>43808</v>
      </c>
      <c r="C13" s="2">
        <v>44196</v>
      </c>
      <c r="D13" s="5">
        <v>11518.255999999999</v>
      </c>
      <c r="E13" s="5">
        <v>1151.568</v>
      </c>
      <c r="F13" s="5">
        <v>35990</v>
      </c>
      <c r="G13" s="5">
        <v>42429.75</v>
      </c>
      <c r="H13" s="5">
        <v>3241633</v>
      </c>
      <c r="I13" s="1" t="s">
        <v>10</v>
      </c>
    </row>
    <row r="14" spans="1:9" x14ac:dyDescent="0.2">
      <c r="A14" s="1" t="s">
        <v>22</v>
      </c>
      <c r="B14" s="2">
        <v>43808</v>
      </c>
      <c r="C14" s="2">
        <v>44196</v>
      </c>
      <c r="D14" s="5">
        <v>15346.08</v>
      </c>
      <c r="E14" s="5">
        <v>1709.6</v>
      </c>
      <c r="F14" s="5">
        <v>47955</v>
      </c>
      <c r="G14" s="5">
        <v>23683.200000000001</v>
      </c>
      <c r="H14" s="5">
        <v>1810580.29</v>
      </c>
      <c r="I14" s="1" t="s">
        <v>10</v>
      </c>
    </row>
    <row r="15" spans="1:9" x14ac:dyDescent="0.2">
      <c r="A15" s="1" t="s">
        <v>23</v>
      </c>
      <c r="B15" s="2">
        <v>43809</v>
      </c>
      <c r="C15" s="2">
        <v>44196</v>
      </c>
      <c r="D15" s="5">
        <v>15233.04</v>
      </c>
      <c r="E15" s="5">
        <v>1282.768</v>
      </c>
      <c r="F15" s="5">
        <v>47600</v>
      </c>
      <c r="G15" s="5">
        <v>24008.400000000001</v>
      </c>
      <c r="H15" s="5">
        <v>1779022.44</v>
      </c>
      <c r="I15" s="1" t="s">
        <v>10</v>
      </c>
    </row>
    <row r="16" spans="1:9" x14ac:dyDescent="0.2">
      <c r="A16" s="1" t="s">
        <v>24</v>
      </c>
      <c r="B16" s="2">
        <v>43809</v>
      </c>
      <c r="C16" s="2">
        <v>44196</v>
      </c>
      <c r="D16" s="5">
        <v>14906.4</v>
      </c>
      <c r="E16" s="5">
        <v>2062.1119999999901</v>
      </c>
      <c r="F16" s="5">
        <v>46340.6</v>
      </c>
      <c r="G16" s="5">
        <v>62000</v>
      </c>
      <c r="H16" s="5">
        <v>4736800</v>
      </c>
      <c r="I16" s="1" t="s">
        <v>10</v>
      </c>
    </row>
    <row r="17" spans="1:9" x14ac:dyDescent="0.2">
      <c r="A17" s="1" t="s">
        <v>25</v>
      </c>
      <c r="B17" s="2">
        <v>43838</v>
      </c>
      <c r="C17" s="2">
        <v>44227</v>
      </c>
      <c r="D17" s="5">
        <v>13722.912</v>
      </c>
      <c r="E17" s="5">
        <v>40689.407999999901</v>
      </c>
      <c r="F17" s="5">
        <v>67880</v>
      </c>
      <c r="G17" s="5">
        <v>19502.11</v>
      </c>
      <c r="H17" s="5">
        <v>1443156.01</v>
      </c>
      <c r="I17" s="1" t="s">
        <v>10</v>
      </c>
    </row>
    <row r="18" spans="1:9" x14ac:dyDescent="0.2">
      <c r="A18" s="1" t="s">
        <v>26</v>
      </c>
      <c r="B18" s="2">
        <v>43845</v>
      </c>
      <c r="C18" s="2">
        <v>44227</v>
      </c>
      <c r="D18" s="5">
        <v>4948.8639999999996</v>
      </c>
      <c r="E18" s="5">
        <v>2956.7999999999902</v>
      </c>
      <c r="F18" s="5">
        <v>22998</v>
      </c>
      <c r="G18" s="5">
        <v>58361.16</v>
      </c>
      <c r="H18" s="5">
        <v>4333316.72</v>
      </c>
      <c r="I18" s="1" t="s">
        <v>10</v>
      </c>
    </row>
    <row r="19" spans="1:9" x14ac:dyDescent="0.2">
      <c r="A19" s="1" t="s">
        <v>27</v>
      </c>
      <c r="B19" s="2">
        <v>43845</v>
      </c>
      <c r="C19" s="2">
        <v>44227</v>
      </c>
      <c r="D19" s="5">
        <v>17127.536</v>
      </c>
      <c r="E19" s="5">
        <v>6645.1199999999899</v>
      </c>
      <c r="F19" s="5">
        <v>56230</v>
      </c>
      <c r="G19" s="5">
        <v>42339.6</v>
      </c>
      <c r="H19" s="5">
        <v>3137364.36</v>
      </c>
      <c r="I19" s="1" t="s">
        <v>10</v>
      </c>
    </row>
    <row r="20" spans="1:9" x14ac:dyDescent="0.2">
      <c r="A20" s="1" t="s">
        <v>28</v>
      </c>
      <c r="B20" s="2">
        <v>43864</v>
      </c>
      <c r="C20" s="2">
        <v>44255</v>
      </c>
      <c r="D20" s="5">
        <v>0</v>
      </c>
      <c r="E20" s="5">
        <v>13116.35</v>
      </c>
      <c r="F20" s="5">
        <v>2156</v>
      </c>
      <c r="G20" s="5">
        <v>4375.29</v>
      </c>
      <c r="H20" s="5">
        <v>323771.58</v>
      </c>
      <c r="I20" s="1" t="s">
        <v>10</v>
      </c>
    </row>
    <row r="21" spans="1:9" x14ac:dyDescent="0.2">
      <c r="A21" s="1" t="s">
        <v>29</v>
      </c>
      <c r="B21" s="2">
        <v>43864</v>
      </c>
      <c r="C21" s="2">
        <v>44255</v>
      </c>
      <c r="D21" s="5">
        <v>0</v>
      </c>
      <c r="E21" s="5">
        <v>14032.97</v>
      </c>
      <c r="F21" s="5">
        <v>2234</v>
      </c>
      <c r="G21" s="5">
        <v>4533.58</v>
      </c>
      <c r="H21" s="5">
        <v>335484.81</v>
      </c>
      <c r="I21" s="1" t="s">
        <v>10</v>
      </c>
    </row>
    <row r="22" spans="1:9" x14ac:dyDescent="0.2">
      <c r="A22" s="1" t="s">
        <v>30</v>
      </c>
      <c r="B22" s="2">
        <v>43871</v>
      </c>
      <c r="C22" s="2">
        <v>44255</v>
      </c>
      <c r="D22" s="5">
        <v>18716.96</v>
      </c>
      <c r="E22" s="5">
        <v>4927.1040000000003</v>
      </c>
      <c r="F22" s="5">
        <v>58490</v>
      </c>
      <c r="G22" s="5">
        <v>23539.919999999998</v>
      </c>
      <c r="H22" s="5">
        <v>1698405</v>
      </c>
      <c r="I22" s="1" t="s">
        <v>10</v>
      </c>
    </row>
    <row r="23" spans="1:9" x14ac:dyDescent="0.2">
      <c r="A23" s="1" t="s">
        <v>31</v>
      </c>
      <c r="B23" s="2">
        <v>43874</v>
      </c>
      <c r="C23" s="2">
        <v>44255</v>
      </c>
      <c r="D23" s="5">
        <v>0</v>
      </c>
      <c r="E23" s="5">
        <v>9402.52</v>
      </c>
      <c r="F23" s="5">
        <v>1741</v>
      </c>
      <c r="G23" s="5">
        <v>3310.46</v>
      </c>
      <c r="H23" s="5">
        <v>246463.58</v>
      </c>
      <c r="I23" s="1" t="s">
        <v>10</v>
      </c>
    </row>
    <row r="24" spans="1:9" x14ac:dyDescent="0.2">
      <c r="A24" s="1" t="s">
        <v>32</v>
      </c>
      <c r="B24" s="2">
        <v>43882</v>
      </c>
      <c r="C24" s="2">
        <v>44255</v>
      </c>
      <c r="D24" s="5">
        <v>0</v>
      </c>
      <c r="E24" s="5">
        <v>10507.4</v>
      </c>
      <c r="F24" s="5">
        <v>2097</v>
      </c>
      <c r="G24" s="5">
        <v>4255.5600000000004</v>
      </c>
      <c r="H24" s="5">
        <v>314911.27</v>
      </c>
      <c r="I24" s="1" t="s">
        <v>10</v>
      </c>
    </row>
    <row r="25" spans="1:9" x14ac:dyDescent="0.2">
      <c r="A25" s="1" t="s">
        <v>33</v>
      </c>
      <c r="B25" s="2">
        <v>43882</v>
      </c>
      <c r="C25" s="2">
        <v>44255</v>
      </c>
      <c r="D25" s="5">
        <v>0</v>
      </c>
      <c r="E25" s="5">
        <v>11602.95</v>
      </c>
      <c r="F25" s="5">
        <v>1911</v>
      </c>
      <c r="G25" s="5">
        <v>3878.1</v>
      </c>
      <c r="H25" s="5">
        <v>286979.25</v>
      </c>
      <c r="I25" s="1" t="s">
        <v>10</v>
      </c>
    </row>
    <row r="26" spans="1:9" x14ac:dyDescent="0.2">
      <c r="A26" s="1" t="s">
        <v>34</v>
      </c>
      <c r="B26" s="2">
        <v>43882</v>
      </c>
      <c r="C26" s="2">
        <v>44255</v>
      </c>
      <c r="D26" s="5">
        <v>0</v>
      </c>
      <c r="E26" s="5">
        <v>9122</v>
      </c>
      <c r="F26" s="5">
        <v>1330</v>
      </c>
      <c r="G26" s="5">
        <v>2699.05</v>
      </c>
      <c r="H26" s="5">
        <v>199729.7</v>
      </c>
      <c r="I26" s="1" t="s">
        <v>10</v>
      </c>
    </row>
    <row r="27" spans="1:9" x14ac:dyDescent="0.2">
      <c r="A27" s="1" t="s">
        <v>35</v>
      </c>
      <c r="B27" s="2">
        <v>43888</v>
      </c>
      <c r="C27" s="2">
        <v>44255</v>
      </c>
      <c r="D27" s="5">
        <v>0</v>
      </c>
      <c r="E27" s="5">
        <v>9064.1200000000008</v>
      </c>
      <c r="F27" s="5">
        <v>1343</v>
      </c>
      <c r="G27" s="5">
        <v>2553.67</v>
      </c>
      <c r="H27" s="5">
        <v>190120.98</v>
      </c>
      <c r="I27" s="1" t="s">
        <v>10</v>
      </c>
    </row>
    <row r="28" spans="1:9" x14ac:dyDescent="0.2">
      <c r="A28" s="1" t="s">
        <v>36</v>
      </c>
      <c r="B28" s="2">
        <v>43894</v>
      </c>
      <c r="C28" s="2">
        <v>44286</v>
      </c>
      <c r="D28" s="5">
        <v>0</v>
      </c>
      <c r="E28" s="5">
        <v>10231.549999999999</v>
      </c>
      <c r="F28" s="5">
        <v>1496</v>
      </c>
      <c r="G28" s="5">
        <v>2844.59</v>
      </c>
      <c r="H28" s="5">
        <v>211780.01</v>
      </c>
      <c r="I28" s="1" t="s">
        <v>10</v>
      </c>
    </row>
    <row r="29" spans="1:9" x14ac:dyDescent="0.2">
      <c r="A29" s="1" t="s">
        <v>37</v>
      </c>
      <c r="B29" s="2">
        <v>43895</v>
      </c>
      <c r="C29" s="2">
        <v>44286</v>
      </c>
      <c r="D29" s="5">
        <v>0</v>
      </c>
      <c r="E29" s="5">
        <v>9498.7099999999991</v>
      </c>
      <c r="F29" s="5">
        <v>1300</v>
      </c>
      <c r="G29" s="5">
        <v>2471.91</v>
      </c>
      <c r="H29" s="5">
        <v>184033.46</v>
      </c>
      <c r="I29" s="1" t="s">
        <v>10</v>
      </c>
    </row>
    <row r="30" spans="1:9" x14ac:dyDescent="0.2">
      <c r="A30" s="1" t="s">
        <v>38</v>
      </c>
      <c r="B30" s="2">
        <v>43899</v>
      </c>
      <c r="C30" s="2">
        <v>44286</v>
      </c>
      <c r="D30" s="5">
        <v>0</v>
      </c>
      <c r="E30" s="5">
        <v>12911.16</v>
      </c>
      <c r="F30" s="5">
        <v>1957</v>
      </c>
      <c r="G30" s="5">
        <v>3721.18</v>
      </c>
      <c r="H30" s="5">
        <v>277041.52</v>
      </c>
      <c r="I30" s="1" t="s">
        <v>10</v>
      </c>
    </row>
    <row r="31" spans="1:9" x14ac:dyDescent="0.2">
      <c r="A31" s="1" t="s">
        <v>39</v>
      </c>
      <c r="B31" s="2">
        <v>43909</v>
      </c>
      <c r="C31" s="2">
        <v>44274</v>
      </c>
      <c r="D31" s="5">
        <v>0</v>
      </c>
      <c r="E31" s="5">
        <v>139956.34</v>
      </c>
      <c r="F31" s="5">
        <v>24549</v>
      </c>
      <c r="G31" s="5">
        <v>16785.810000000001</v>
      </c>
      <c r="H31" s="5">
        <v>1238793.48</v>
      </c>
      <c r="I31" s="1" t="s">
        <v>10</v>
      </c>
    </row>
    <row r="32" spans="1:9" x14ac:dyDescent="0.2">
      <c r="A32" s="7" t="s">
        <v>66</v>
      </c>
      <c r="B32" s="2">
        <v>43909</v>
      </c>
      <c r="C32" s="2">
        <v>44286</v>
      </c>
      <c r="D32" s="5">
        <v>735947</v>
      </c>
      <c r="E32" s="5">
        <f>807263.3-D32</f>
        <v>71316.300000000047</v>
      </c>
      <c r="F32" s="5">
        <v>715925.18</v>
      </c>
      <c r="G32" s="5">
        <v>1767101</v>
      </c>
      <c r="H32" s="5">
        <v>130673367.27</v>
      </c>
      <c r="I32" s="1" t="s">
        <v>10</v>
      </c>
    </row>
    <row r="33" spans="1:9" x14ac:dyDescent="0.2">
      <c r="A33" s="1" t="s">
        <v>40</v>
      </c>
      <c r="B33" s="2">
        <v>43910</v>
      </c>
      <c r="C33" s="2">
        <v>44286</v>
      </c>
      <c r="D33" s="5">
        <v>0</v>
      </c>
      <c r="E33" s="5">
        <v>5683.77</v>
      </c>
      <c r="F33" s="5">
        <v>1046</v>
      </c>
      <c r="G33" s="5">
        <v>1988.94</v>
      </c>
      <c r="H33" s="5">
        <v>148076.41</v>
      </c>
      <c r="I33" s="1" t="s">
        <v>10</v>
      </c>
    </row>
    <row r="34" spans="1:9" x14ac:dyDescent="0.2">
      <c r="A34" s="7" t="s">
        <v>65</v>
      </c>
      <c r="B34" s="2">
        <v>44022</v>
      </c>
      <c r="C34" s="2">
        <v>44408</v>
      </c>
      <c r="D34" s="5">
        <v>41357.75</v>
      </c>
      <c r="E34" s="5">
        <f>56513.75-D34</f>
        <v>15156</v>
      </c>
      <c r="F34" s="5">
        <v>41356</v>
      </c>
      <c r="G34" s="5">
        <v>109639.91</v>
      </c>
      <c r="H34" s="5">
        <v>8140763.0099999998</v>
      </c>
      <c r="I34" s="1" t="s">
        <v>10</v>
      </c>
    </row>
    <row r="35" spans="1:9" x14ac:dyDescent="0.2">
      <c r="A35" s="1" t="s">
        <v>41</v>
      </c>
      <c r="B35" s="2">
        <v>44028</v>
      </c>
      <c r="C35" s="2">
        <v>44408</v>
      </c>
      <c r="D35" s="5">
        <v>0</v>
      </c>
      <c r="E35" s="5">
        <v>9073.06</v>
      </c>
      <c r="F35" s="5">
        <v>1540</v>
      </c>
      <c r="G35" s="5">
        <v>3125.21</v>
      </c>
      <c r="H35" s="5">
        <v>231265.19</v>
      </c>
      <c r="I35" s="1" t="s">
        <v>10</v>
      </c>
    </row>
    <row r="36" spans="1:9" x14ac:dyDescent="0.2">
      <c r="A36" s="1" t="s">
        <v>42</v>
      </c>
      <c r="B36" s="2">
        <v>44028</v>
      </c>
      <c r="C36" s="2">
        <v>44408</v>
      </c>
      <c r="D36" s="5">
        <v>0</v>
      </c>
      <c r="E36" s="5">
        <v>5020.08</v>
      </c>
      <c r="F36" s="5">
        <v>942</v>
      </c>
      <c r="G36" s="5">
        <v>1911.66</v>
      </c>
      <c r="H36" s="5">
        <v>141462.57</v>
      </c>
      <c r="I36" s="1" t="s">
        <v>10</v>
      </c>
    </row>
    <row r="37" spans="1:9" x14ac:dyDescent="0.2">
      <c r="A37" s="1" t="s">
        <v>43</v>
      </c>
      <c r="B37" s="2">
        <v>44075</v>
      </c>
      <c r="C37" s="2">
        <v>44469</v>
      </c>
      <c r="D37" s="5">
        <v>0</v>
      </c>
      <c r="E37" s="5">
        <v>11523.42</v>
      </c>
      <c r="F37" s="5">
        <v>1895</v>
      </c>
      <c r="G37" s="5">
        <v>3790</v>
      </c>
      <c r="H37" s="5">
        <v>280460</v>
      </c>
      <c r="I37" s="1" t="s">
        <v>10</v>
      </c>
    </row>
    <row r="38" spans="1:9" x14ac:dyDescent="0.2">
      <c r="A38" s="1" t="s">
        <v>44</v>
      </c>
      <c r="B38" s="2">
        <v>44075</v>
      </c>
      <c r="C38" s="2">
        <v>44469</v>
      </c>
      <c r="D38" s="5">
        <v>0</v>
      </c>
      <c r="E38" s="5">
        <v>9788.8700000000008</v>
      </c>
      <c r="F38" s="5">
        <v>1635</v>
      </c>
      <c r="G38" s="5">
        <v>3270</v>
      </c>
      <c r="H38" s="5">
        <v>241980</v>
      </c>
      <c r="I38" s="1" t="s">
        <v>10</v>
      </c>
    </row>
    <row r="39" spans="1:9" x14ac:dyDescent="0.2">
      <c r="A39" s="1" t="s">
        <v>45</v>
      </c>
      <c r="B39" s="2">
        <v>44075</v>
      </c>
      <c r="C39" s="2">
        <v>44469</v>
      </c>
      <c r="D39" s="5">
        <v>0</v>
      </c>
      <c r="E39" s="5">
        <v>9457.94</v>
      </c>
      <c r="F39" s="5">
        <v>1505</v>
      </c>
      <c r="G39" s="5">
        <v>3010</v>
      </c>
      <c r="H39" s="5">
        <v>222740</v>
      </c>
      <c r="I39" s="1" t="s">
        <v>10</v>
      </c>
    </row>
    <row r="40" spans="1:9" x14ac:dyDescent="0.2">
      <c r="A40" s="1" t="s">
        <v>46</v>
      </c>
      <c r="B40" s="2">
        <v>44083</v>
      </c>
      <c r="C40" s="2">
        <v>44469</v>
      </c>
      <c r="D40" s="5">
        <v>0</v>
      </c>
      <c r="E40" s="5">
        <v>8245.75</v>
      </c>
      <c r="F40" s="5">
        <v>1225</v>
      </c>
      <c r="G40" s="5">
        <v>2450</v>
      </c>
      <c r="H40" s="5">
        <v>181300</v>
      </c>
      <c r="I40" s="1" t="s">
        <v>10</v>
      </c>
    </row>
    <row r="41" spans="1:9" x14ac:dyDescent="0.2">
      <c r="A41" s="1" t="s">
        <v>47</v>
      </c>
      <c r="B41" s="2">
        <v>44084</v>
      </c>
      <c r="C41" s="2">
        <v>44469</v>
      </c>
      <c r="D41" s="5">
        <v>0</v>
      </c>
      <c r="E41" s="5">
        <v>23485.29</v>
      </c>
      <c r="F41" s="5">
        <v>3497</v>
      </c>
      <c r="G41" s="5">
        <v>2374.86</v>
      </c>
      <c r="H41" s="5">
        <v>175739.82</v>
      </c>
      <c r="I41" s="1" t="s">
        <v>10</v>
      </c>
    </row>
    <row r="42" spans="1:9" x14ac:dyDescent="0.2">
      <c r="A42" s="1" t="s">
        <v>48</v>
      </c>
      <c r="B42" s="2">
        <v>44090</v>
      </c>
      <c r="C42" s="2">
        <v>44469</v>
      </c>
      <c r="D42" s="5">
        <v>0</v>
      </c>
      <c r="E42" s="5">
        <v>15395.82</v>
      </c>
      <c r="F42" s="5">
        <v>2665</v>
      </c>
      <c r="G42" s="5">
        <v>5330</v>
      </c>
      <c r="H42" s="5">
        <v>394420</v>
      </c>
      <c r="I42" s="1" t="s">
        <v>10</v>
      </c>
    </row>
    <row r="43" spans="1:9" x14ac:dyDescent="0.2">
      <c r="A43" s="1" t="s">
        <v>49</v>
      </c>
      <c r="B43" s="2">
        <v>44090</v>
      </c>
      <c r="C43" s="2">
        <v>44469</v>
      </c>
      <c r="D43" s="5">
        <v>0</v>
      </c>
      <c r="E43" s="5">
        <v>8556.33</v>
      </c>
      <c r="F43" s="5">
        <v>1335</v>
      </c>
      <c r="G43" s="5">
        <v>2670</v>
      </c>
      <c r="H43" s="5">
        <v>197580</v>
      </c>
      <c r="I43" s="1" t="s">
        <v>10</v>
      </c>
    </row>
    <row r="44" spans="1:9" x14ac:dyDescent="0.2">
      <c r="A44" s="1" t="s">
        <v>50</v>
      </c>
      <c r="B44" s="2">
        <v>44090</v>
      </c>
      <c r="C44" s="2">
        <v>44469</v>
      </c>
      <c r="D44" s="5">
        <v>0</v>
      </c>
      <c r="E44" s="5">
        <v>9122.5</v>
      </c>
      <c r="F44" s="5">
        <v>1519</v>
      </c>
      <c r="G44" s="5">
        <v>3082.59</v>
      </c>
      <c r="H44" s="5">
        <v>228111.56</v>
      </c>
      <c r="I44" s="1" t="s">
        <v>10</v>
      </c>
    </row>
    <row r="45" spans="1:9" x14ac:dyDescent="0.2">
      <c r="A45" s="1" t="s">
        <v>51</v>
      </c>
      <c r="B45" s="2">
        <v>44096</v>
      </c>
      <c r="C45" s="2">
        <v>44469</v>
      </c>
      <c r="D45" s="5">
        <v>0</v>
      </c>
      <c r="E45" s="5">
        <v>9834.5049999999992</v>
      </c>
      <c r="F45" s="5">
        <v>1959</v>
      </c>
      <c r="G45" s="5">
        <v>2548.67</v>
      </c>
      <c r="H45" s="5">
        <v>188601.69</v>
      </c>
      <c r="I45" s="1" t="s">
        <v>10</v>
      </c>
    </row>
    <row r="46" spans="1:9" x14ac:dyDescent="0.2">
      <c r="A46" s="1" t="s">
        <v>52</v>
      </c>
      <c r="B46" s="2">
        <v>44099</v>
      </c>
      <c r="C46" s="2">
        <v>44469</v>
      </c>
      <c r="D46" s="5">
        <v>0</v>
      </c>
      <c r="E46" s="5">
        <v>21140.97</v>
      </c>
      <c r="F46" s="5">
        <v>3217</v>
      </c>
      <c r="G46" s="5">
        <v>3440</v>
      </c>
      <c r="H46" s="5">
        <v>254560</v>
      </c>
      <c r="I46" s="1" t="s">
        <v>10</v>
      </c>
    </row>
    <row r="47" spans="1:9" x14ac:dyDescent="0.2">
      <c r="A47" s="1" t="s">
        <v>53</v>
      </c>
      <c r="B47" s="2">
        <v>44099</v>
      </c>
      <c r="C47" s="2">
        <v>44469</v>
      </c>
      <c r="D47" s="5">
        <v>0</v>
      </c>
      <c r="E47" s="5">
        <v>7585.92</v>
      </c>
      <c r="F47" s="5">
        <v>1157</v>
      </c>
      <c r="G47" s="5">
        <v>2347.9499999999998</v>
      </c>
      <c r="H47" s="5">
        <v>173748.59</v>
      </c>
      <c r="I47" s="1" t="s">
        <v>10</v>
      </c>
    </row>
    <row r="48" spans="1:9" x14ac:dyDescent="0.2">
      <c r="A48" s="1" t="s">
        <v>54</v>
      </c>
      <c r="B48" s="2">
        <v>44109</v>
      </c>
      <c r="C48" s="2">
        <v>44500</v>
      </c>
      <c r="D48" s="5">
        <v>0</v>
      </c>
      <c r="E48" s="5">
        <v>10803.2</v>
      </c>
      <c r="F48" s="5">
        <v>1682</v>
      </c>
      <c r="G48" s="5">
        <v>3413.38</v>
      </c>
      <c r="H48" s="5">
        <v>252590.05</v>
      </c>
      <c r="I48" s="1" t="s">
        <v>10</v>
      </c>
    </row>
    <row r="49" spans="1:9" x14ac:dyDescent="0.2">
      <c r="A49" s="1" t="s">
        <v>55</v>
      </c>
      <c r="B49" s="2">
        <v>44111</v>
      </c>
      <c r="C49" s="2">
        <v>44500</v>
      </c>
      <c r="D49" s="5">
        <v>0</v>
      </c>
      <c r="E49" s="5">
        <v>25469.06</v>
      </c>
      <c r="F49" s="5">
        <v>367</v>
      </c>
      <c r="G49" s="5">
        <v>697.84</v>
      </c>
      <c r="H49" s="5">
        <v>51954.06</v>
      </c>
      <c r="I49" s="1" t="s">
        <v>10</v>
      </c>
    </row>
    <row r="50" spans="1:9" x14ac:dyDescent="0.2">
      <c r="A50" s="1" t="s">
        <v>56</v>
      </c>
      <c r="B50" s="2">
        <v>44118</v>
      </c>
      <c r="C50" s="2">
        <v>44483</v>
      </c>
      <c r="D50" s="5">
        <v>0</v>
      </c>
      <c r="E50" s="5">
        <v>15161.4</v>
      </c>
      <c r="F50" s="5">
        <v>2512</v>
      </c>
      <c r="G50" s="5">
        <v>5097.74</v>
      </c>
      <c r="H50" s="5">
        <v>377232.49</v>
      </c>
      <c r="I50" s="1" t="s">
        <v>10</v>
      </c>
    </row>
    <row r="51" spans="1:9" x14ac:dyDescent="0.2">
      <c r="A51" s="1" t="s">
        <v>57</v>
      </c>
      <c r="B51" s="2">
        <v>44118</v>
      </c>
      <c r="C51" s="2">
        <v>44500</v>
      </c>
      <c r="D51" s="5">
        <v>0</v>
      </c>
      <c r="E51" s="5">
        <v>17686.349999999999</v>
      </c>
      <c r="F51" s="5">
        <v>2765</v>
      </c>
      <c r="G51" s="5">
        <v>5611.17</v>
      </c>
      <c r="H51" s="5">
        <v>415226.75</v>
      </c>
      <c r="I51" s="1" t="s">
        <v>10</v>
      </c>
    </row>
    <row r="52" spans="1:9" x14ac:dyDescent="0.2">
      <c r="A52" s="1" t="s">
        <v>58</v>
      </c>
      <c r="B52" s="2">
        <v>44123</v>
      </c>
      <c r="C52" s="2">
        <v>44500</v>
      </c>
      <c r="D52" s="5">
        <v>0</v>
      </c>
      <c r="E52" s="5">
        <v>9905.41</v>
      </c>
      <c r="F52" s="5">
        <v>1515</v>
      </c>
      <c r="G52" s="5">
        <v>3074.47</v>
      </c>
      <c r="H52" s="5">
        <v>227510.98</v>
      </c>
      <c r="I52" s="1" t="s">
        <v>10</v>
      </c>
    </row>
    <row r="53" spans="1:9" x14ac:dyDescent="0.2">
      <c r="A53" s="1" t="s">
        <v>59</v>
      </c>
      <c r="B53" s="2">
        <v>44126</v>
      </c>
      <c r="C53" s="2">
        <v>44500</v>
      </c>
      <c r="D53" s="5">
        <v>0</v>
      </c>
      <c r="E53" s="5">
        <v>11856.8</v>
      </c>
      <c r="F53" s="5">
        <v>1995</v>
      </c>
      <c r="G53" s="5">
        <v>1152.67</v>
      </c>
      <c r="H53" s="5">
        <v>85297.87</v>
      </c>
      <c r="I53" s="1" t="s">
        <v>10</v>
      </c>
    </row>
    <row r="54" spans="1:9" x14ac:dyDescent="0.2">
      <c r="A54" s="1" t="s">
        <v>60</v>
      </c>
      <c r="B54" s="2">
        <v>44130</v>
      </c>
      <c r="C54" s="2">
        <v>44500</v>
      </c>
      <c r="D54" s="5">
        <v>0</v>
      </c>
      <c r="E54" s="5">
        <v>12525.58</v>
      </c>
      <c r="F54" s="5">
        <v>2017</v>
      </c>
      <c r="G54" s="5">
        <v>4093.21</v>
      </c>
      <c r="H54" s="5">
        <v>302897.34000000003</v>
      </c>
      <c r="I54" s="1" t="s">
        <v>10</v>
      </c>
    </row>
    <row r="55" spans="1:9" x14ac:dyDescent="0.2">
      <c r="A55" s="1" t="s">
        <v>61</v>
      </c>
      <c r="B55" s="2">
        <v>44130</v>
      </c>
      <c r="C55" s="2">
        <v>44500</v>
      </c>
      <c r="D55" s="5">
        <v>0</v>
      </c>
      <c r="E55" s="5">
        <v>18444.169999999998</v>
      </c>
      <c r="F55" s="5">
        <v>2869</v>
      </c>
      <c r="G55" s="5">
        <v>5822.22</v>
      </c>
      <c r="H55" s="5">
        <v>430844.15</v>
      </c>
      <c r="I55" s="1" t="s">
        <v>10</v>
      </c>
    </row>
    <row r="56" spans="1:9" x14ac:dyDescent="0.2">
      <c r="A56" s="1" t="s">
        <v>62</v>
      </c>
      <c r="B56" s="2">
        <v>44130</v>
      </c>
      <c r="C56" s="2">
        <v>44500</v>
      </c>
      <c r="D56" s="5">
        <v>0</v>
      </c>
      <c r="E56" s="5">
        <v>10538.91</v>
      </c>
      <c r="F56" s="5">
        <v>1665</v>
      </c>
      <c r="G56" s="5">
        <v>3378.88</v>
      </c>
      <c r="H56" s="5">
        <v>250036.99</v>
      </c>
      <c r="I56" s="1" t="s">
        <v>10</v>
      </c>
    </row>
    <row r="57" spans="1:9" x14ac:dyDescent="0.2">
      <c r="A57" s="1" t="s">
        <v>63</v>
      </c>
      <c r="B57" s="2">
        <v>44154</v>
      </c>
      <c r="C57" s="2">
        <v>44530</v>
      </c>
      <c r="D57" s="5">
        <v>0</v>
      </c>
      <c r="E57" s="5">
        <v>40921.769999999997</v>
      </c>
      <c r="F57" s="5">
        <v>6394</v>
      </c>
      <c r="G57" s="5">
        <v>12975.7</v>
      </c>
      <c r="H57" s="5">
        <v>960202.04</v>
      </c>
      <c r="I57" s="1" t="s">
        <v>10</v>
      </c>
    </row>
    <row r="58" spans="1:9" x14ac:dyDescent="0.2">
      <c r="A58" s="1" t="s">
        <v>64</v>
      </c>
      <c r="B58" s="2">
        <v>44155</v>
      </c>
      <c r="C58" s="2">
        <v>44530</v>
      </c>
      <c r="D58" s="5">
        <v>0</v>
      </c>
      <c r="E58" s="5">
        <v>23478</v>
      </c>
      <c r="F58" s="5">
        <v>3816</v>
      </c>
      <c r="G58" s="5">
        <v>7744.02</v>
      </c>
      <c r="H58" s="5">
        <v>573057.26</v>
      </c>
      <c r="I58" s="1" t="s">
        <v>10</v>
      </c>
    </row>
    <row r="59" spans="1:9" x14ac:dyDescent="0.2">
      <c r="A59" s="1"/>
      <c r="B59" s="1"/>
      <c r="C59" s="1"/>
      <c r="D59" s="4">
        <f>SUM(D2:D58)</f>
        <v>1161308.62408</v>
      </c>
      <c r="E59" s="4">
        <f>SUM(E2:E58)</f>
        <v>877786.02892000007</v>
      </c>
      <c r="F59" s="4">
        <f>SUM(F2:F58)</f>
        <v>2126185.7800000003</v>
      </c>
      <c r="G59" s="4">
        <f>SUM(G2:G58)</f>
        <v>2781619.7800000007</v>
      </c>
      <c r="H59" s="4">
        <f>SUM(H2:H58)</f>
        <v>206520319.97999999</v>
      </c>
      <c r="I5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 confectionery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2021-10-19T12:32:40Z</dcterms:created>
  <dcterms:modified xsi:type="dcterms:W3CDTF">2021-10-19T12:32:40Z</dcterms:modified>
</cp:coreProperties>
</file>