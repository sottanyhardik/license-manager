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13_ncr:40009_{5D859D3D-DF56-B24D-834C-DA0B26430FC8}" xr6:coauthVersionLast="47" xr6:coauthVersionMax="47" xr10:uidLastSave="{00000000-0000-0000-0000-000000000000}"/>
  <bookViews>
    <workbookView xWindow="380" yWindow="500" windowWidth="28040" windowHeight="16280"/>
  </bookViews>
  <sheets>
    <sheet name="biscuits_lived" sheetId="1" r:id="rId1"/>
  </sheets>
  <definedNames>
    <definedName name="_xlnm._FilterDatabase" localSheetId="0" hidden="1">biscuits_lived!$A$1:$U$1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V6" i="1"/>
  <c r="V5" i="1"/>
  <c r="T13" i="1"/>
  <c r="S13" i="1"/>
  <c r="Q13" i="1"/>
  <c r="P13" i="1"/>
  <c r="O13" i="1"/>
  <c r="N13" i="1"/>
  <c r="M13" i="1"/>
  <c r="L13" i="1"/>
  <c r="K13" i="1"/>
  <c r="I13" i="1"/>
  <c r="H13" i="1"/>
  <c r="G13" i="1"/>
  <c r="F13" i="1"/>
  <c r="T19" i="1"/>
  <c r="S19" i="1"/>
  <c r="R19" i="1"/>
  <c r="Q19" i="1"/>
  <c r="P19" i="1"/>
  <c r="O19" i="1"/>
  <c r="N19" i="1"/>
  <c r="M19" i="1"/>
  <c r="L19" i="1"/>
  <c r="K19" i="1"/>
  <c r="I19" i="1"/>
  <c r="H19" i="1"/>
  <c r="G19" i="1"/>
  <c r="F19" i="1"/>
  <c r="J16" i="1"/>
  <c r="U16" i="1" s="1"/>
  <c r="U19" i="1" s="1"/>
  <c r="R2" i="1"/>
  <c r="R13" i="1" s="1"/>
  <c r="J9" i="1"/>
  <c r="U9" i="1" s="1"/>
  <c r="V9" i="1" s="1"/>
  <c r="J3" i="1"/>
  <c r="U3" i="1" s="1"/>
  <c r="V3" i="1" s="1"/>
  <c r="J18" i="1"/>
  <c r="U18" i="1" s="1"/>
  <c r="J6" i="1"/>
  <c r="U6" i="1" s="1"/>
  <c r="J5" i="1"/>
  <c r="U5" i="1" s="1"/>
  <c r="J12" i="1"/>
  <c r="U12" i="1" s="1"/>
  <c r="V12" i="1" s="1"/>
  <c r="J10" i="1"/>
  <c r="U10" i="1" s="1"/>
  <c r="V10" i="1" s="1"/>
  <c r="J4" i="1"/>
  <c r="U4" i="1" s="1"/>
  <c r="V4" i="1" s="1"/>
  <c r="J7" i="1"/>
  <c r="U7" i="1" s="1"/>
  <c r="J17" i="1"/>
  <c r="U17" i="1" s="1"/>
  <c r="J11" i="1"/>
  <c r="U11" i="1" s="1"/>
  <c r="V11" i="1" s="1"/>
  <c r="J8" i="1"/>
  <c r="U8" i="1" s="1"/>
  <c r="V8" i="1" s="1"/>
  <c r="J2" i="1"/>
  <c r="U2" i="1" l="1"/>
  <c r="J13" i="1"/>
  <c r="J19" i="1"/>
  <c r="U13" i="1" l="1"/>
  <c r="V2" i="1"/>
</calcChain>
</file>

<file path=xl/sharedStrings.xml><?xml version="1.0" encoding="utf-8"?>
<sst xmlns="http://schemas.openxmlformats.org/spreadsheetml/2006/main" count="142" uniqueCount="51">
  <si>
    <t>DFIA</t>
  </si>
  <si>
    <t>DFIA DT</t>
  </si>
  <si>
    <t>DFIA EXP</t>
  </si>
  <si>
    <t>Exporter</t>
  </si>
  <si>
    <t>Notf No</t>
  </si>
  <si>
    <t>TOTAL CIF</t>
  </si>
  <si>
    <t>BAL CIF</t>
  </si>
  <si>
    <t>RBD QTY</t>
  </si>
  <si>
    <t>DF QTY</t>
  </si>
  <si>
    <t>HSN D</t>
  </si>
  <si>
    <t>FF QTY</t>
  </si>
  <si>
    <t>HSN F</t>
  </si>
  <si>
    <t>VAL 10% Balance</t>
  </si>
  <si>
    <t>WPC QTY</t>
  </si>
  <si>
    <t>HSN WPC</t>
  </si>
  <si>
    <t>SWP QTY</t>
  </si>
  <si>
    <t>HSN SWP</t>
  </si>
  <si>
    <t>'15119020</t>
  </si>
  <si>
    <t>'08023100</t>
  </si>
  <si>
    <t>'04041020</t>
  </si>
  <si>
    <t>019/2015</t>
  </si>
  <si>
    <t>'15119010</t>
  </si>
  <si>
    <t>RAMA EXPORTS</t>
  </si>
  <si>
    <t>'35022000</t>
  </si>
  <si>
    <t>DEEPA INTERNATI</t>
  </si>
  <si>
    <t>Rajwani Exports</t>
  </si>
  <si>
    <t>PHOENIX IMPEX</t>
  </si>
  <si>
    <t>'0311005081</t>
  </si>
  <si>
    <t>'08029000</t>
  </si>
  <si>
    <t>SHIVAM EXPORTS</t>
  </si>
  <si>
    <t>'0311005543</t>
  </si>
  <si>
    <t>MAGNUM INTERNAT</t>
  </si>
  <si>
    <t>M1 TRADING PRIV</t>
  </si>
  <si>
    <t>'0311007217</t>
  </si>
  <si>
    <t>JAFFERBHOY SALE</t>
  </si>
  <si>
    <t>HSN RBD</t>
  </si>
  <si>
    <t>WPC VALUE</t>
  </si>
  <si>
    <t>SWP $</t>
  </si>
  <si>
    <t>RBD $</t>
  </si>
  <si>
    <t>@ 1.2</t>
  </si>
  <si>
    <t>0311004131</t>
  </si>
  <si>
    <t>0311004780</t>
  </si>
  <si>
    <t>5611000373</t>
  </si>
  <si>
    <t>0311005927</t>
  </si>
  <si>
    <t>0311006037</t>
  </si>
  <si>
    <t>0311006070</t>
  </si>
  <si>
    <t>0311006234</t>
  </si>
  <si>
    <t>0311006347</t>
  </si>
  <si>
    <t>0311006591</t>
  </si>
  <si>
    <t>0311006746</t>
  </si>
  <si>
    <t>0311006833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</si>
</sst>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10" xfId="0" applyBorder="1"/>
    <xf numFmtId="43" fontId="0" fillId="0" borderId="10" xfId="1" applyFont="1" applyBorder="1"/>
    <xf numFmtId="43" fontId="0" fillId="0" borderId="10" xfId="1" quotePrefix="1" applyFont="1" applyBorder="1"/>
    <xf numFmtId="14" fontId="0" fillId="0" borderId="10" xfId="0" applyNumberFormat="1" applyBorder="1"/>
    <xf numFmtId="43" fontId="16" fillId="0" borderId="10" xfId="1" applyFont="1" applyBorder="1"/>
    <xf numFmtId="0" fontId="0" fillId="0" borderId="10" xfId="0" quotePrefix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2"/>
  <sheetViews>
    <sheetView tabSelected="1" workbookViewId="0">
      <selection activeCell="F27" sqref="F27:H31"/>
    </sheetView>
  </sheetViews>
  <sheetFormatPr baseColWidth="10" defaultRowHeight="16" x14ac:dyDescent="0.2"/>
  <cols>
    <col min="1" max="1" width="11.6640625" bestFit="1" customWidth="1"/>
    <col min="2" max="2" width="10.1640625" customWidth="1"/>
    <col min="3" max="3" width="11" customWidth="1"/>
    <col min="4" max="4" width="18.83203125" customWidth="1"/>
    <col min="5" max="5" width="10.1640625" customWidth="1"/>
    <col min="6" max="6" width="13.33203125" style="2" customWidth="1"/>
    <col min="7" max="7" width="13" style="2" customWidth="1"/>
    <col min="8" max="8" width="12.33203125" style="2" customWidth="1"/>
    <col min="9" max="9" width="12.5" style="2" customWidth="1"/>
    <col min="10" max="11" width="12" style="2" customWidth="1"/>
    <col min="12" max="12" width="11" style="2" customWidth="1"/>
    <col min="13" max="13" width="10.83203125" style="2" customWidth="1"/>
    <col min="14" max="14" width="11" style="2" customWidth="1"/>
    <col min="15" max="15" width="19.33203125" style="2" customWidth="1"/>
    <col min="16" max="16" width="12.6640625" style="2" customWidth="1"/>
    <col min="17" max="17" width="12.83203125" style="2" customWidth="1"/>
    <col min="18" max="18" width="10.33203125" style="2" customWidth="1"/>
    <col min="19" max="19" width="12.6640625" style="2" customWidth="1"/>
    <col min="20" max="20" width="12.83203125" style="2" customWidth="1"/>
    <col min="21" max="21" width="14.83203125" style="2" customWidth="1"/>
    <col min="22" max="22" width="12.1640625" bestFit="1" customWidth="1"/>
  </cols>
  <sheetData>
    <row r="1" spans="1:2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35</v>
      </c>
      <c r="J1" s="5" t="s">
        <v>38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15</v>
      </c>
      <c r="Q1" s="4" t="s">
        <v>16</v>
      </c>
      <c r="R1" s="4" t="s">
        <v>37</v>
      </c>
      <c r="S1" s="4" t="s">
        <v>13</v>
      </c>
      <c r="T1" s="4" t="s">
        <v>14</v>
      </c>
      <c r="U1" s="4" t="s">
        <v>36</v>
      </c>
    </row>
    <row r="2" spans="1:22" x14ac:dyDescent="0.2">
      <c r="A2" s="8" t="s">
        <v>40</v>
      </c>
      <c r="B2" s="6">
        <v>44345</v>
      </c>
      <c r="C2" s="6">
        <v>44710</v>
      </c>
      <c r="D2" s="3" t="s">
        <v>22</v>
      </c>
      <c r="E2" s="3" t="s">
        <v>20</v>
      </c>
      <c r="F2" s="4">
        <v>306923.2</v>
      </c>
      <c r="G2" s="4">
        <v>11720</v>
      </c>
      <c r="H2" s="4">
        <v>0</v>
      </c>
      <c r="I2" s="4" t="s">
        <v>17</v>
      </c>
      <c r="J2" s="4">
        <f>H2*1.2</f>
        <v>0</v>
      </c>
      <c r="K2" s="4">
        <v>3378</v>
      </c>
      <c r="L2" s="4" t="s">
        <v>18</v>
      </c>
      <c r="M2" s="4">
        <v>7154</v>
      </c>
      <c r="N2" s="4" t="s">
        <v>18</v>
      </c>
      <c r="O2" s="4">
        <v>83</v>
      </c>
      <c r="P2" s="4">
        <v>6259</v>
      </c>
      <c r="Q2" s="4" t="s">
        <v>19</v>
      </c>
      <c r="R2" s="4">
        <f>P2*1.15</f>
        <v>7197.8499999999995</v>
      </c>
      <c r="S2" s="4">
        <v>1399</v>
      </c>
      <c r="T2" s="4" t="s">
        <v>23</v>
      </c>
      <c r="U2" s="4">
        <f>G2-J2-O2-R2</f>
        <v>4439.1500000000005</v>
      </c>
      <c r="V2" s="2">
        <f>ROUNDDOWN(U2/10.32,0)</f>
        <v>430</v>
      </c>
    </row>
    <row r="3" spans="1:22" x14ac:dyDescent="0.2">
      <c r="A3" s="8" t="s">
        <v>41</v>
      </c>
      <c r="B3" s="6">
        <v>44367</v>
      </c>
      <c r="C3" s="6">
        <v>44732</v>
      </c>
      <c r="D3" s="3" t="s">
        <v>26</v>
      </c>
      <c r="E3" s="3" t="s">
        <v>20</v>
      </c>
      <c r="F3" s="4">
        <v>112900.33</v>
      </c>
      <c r="G3" s="4">
        <v>1284</v>
      </c>
      <c r="H3" s="4">
        <v>0</v>
      </c>
      <c r="I3" s="4" t="s">
        <v>17</v>
      </c>
      <c r="J3" s="4">
        <f>H3*1.2</f>
        <v>0</v>
      </c>
      <c r="K3" s="4">
        <v>1355</v>
      </c>
      <c r="L3" s="4" t="s">
        <v>18</v>
      </c>
      <c r="M3" s="4">
        <v>2889</v>
      </c>
      <c r="N3" s="4" t="s">
        <v>18</v>
      </c>
      <c r="O3" s="4">
        <v>2</v>
      </c>
      <c r="P3" s="4"/>
      <c r="Q3" s="4"/>
      <c r="R3" s="4"/>
      <c r="S3" s="4">
        <v>4393</v>
      </c>
      <c r="T3" s="4" t="s">
        <v>23</v>
      </c>
      <c r="U3" s="4">
        <f>G3-J3-O3-R3</f>
        <v>1282</v>
      </c>
      <c r="V3" s="2">
        <f t="shared" ref="V3:V12" si="0">ROUNDDOWN(U3/10.32,0)</f>
        <v>124</v>
      </c>
    </row>
    <row r="4" spans="1:22" x14ac:dyDescent="0.2">
      <c r="A4" s="8" t="s">
        <v>42</v>
      </c>
      <c r="B4" s="6">
        <v>44386</v>
      </c>
      <c r="C4" s="6">
        <v>44751</v>
      </c>
      <c r="D4" s="3" t="s">
        <v>25</v>
      </c>
      <c r="E4" s="3" t="s">
        <v>20</v>
      </c>
      <c r="F4" s="4">
        <v>262488.5</v>
      </c>
      <c r="G4" s="4">
        <v>24071</v>
      </c>
      <c r="H4" s="4">
        <v>0</v>
      </c>
      <c r="I4" s="4" t="s">
        <v>17</v>
      </c>
      <c r="J4" s="4">
        <f>H4*1.2</f>
        <v>0</v>
      </c>
      <c r="K4" s="4">
        <v>681</v>
      </c>
      <c r="L4" s="4" t="s">
        <v>18</v>
      </c>
      <c r="M4" s="4">
        <v>4611</v>
      </c>
      <c r="N4" s="4" t="s">
        <v>18</v>
      </c>
      <c r="O4" s="4">
        <v>43</v>
      </c>
      <c r="P4" s="4"/>
      <c r="Q4" s="4"/>
      <c r="R4" s="4"/>
      <c r="S4" s="4">
        <v>3053</v>
      </c>
      <c r="T4" s="4" t="s">
        <v>23</v>
      </c>
      <c r="U4" s="4">
        <f>G4-J4-O4-R4</f>
        <v>24028</v>
      </c>
      <c r="V4" s="2">
        <f t="shared" si="0"/>
        <v>2328</v>
      </c>
    </row>
    <row r="5" spans="1:22" x14ac:dyDescent="0.2">
      <c r="A5" s="8" t="s">
        <v>43</v>
      </c>
      <c r="B5" s="6">
        <v>44413</v>
      </c>
      <c r="C5" s="6">
        <v>44778</v>
      </c>
      <c r="D5" s="3" t="s">
        <v>26</v>
      </c>
      <c r="E5" s="3" t="s">
        <v>20</v>
      </c>
      <c r="F5" s="4">
        <v>82507.03</v>
      </c>
      <c r="G5" s="4">
        <v>12972</v>
      </c>
      <c r="H5" s="4">
        <v>0</v>
      </c>
      <c r="I5" s="4" t="s">
        <v>17</v>
      </c>
      <c r="J5" s="4">
        <f>H5*1.2</f>
        <v>0</v>
      </c>
      <c r="K5" s="4">
        <v>4125</v>
      </c>
      <c r="L5" s="4" t="s">
        <v>18</v>
      </c>
      <c r="M5" s="4">
        <v>2200</v>
      </c>
      <c r="N5" s="4" t="s">
        <v>18</v>
      </c>
      <c r="O5" s="4">
        <v>8250</v>
      </c>
      <c r="P5" s="4"/>
      <c r="Q5" s="4"/>
      <c r="R5" s="4"/>
      <c r="S5" s="4">
        <v>3625</v>
      </c>
      <c r="T5" s="4" t="s">
        <v>23</v>
      </c>
      <c r="U5" s="4">
        <f>G5-J5-O5-R5</f>
        <v>4722</v>
      </c>
      <c r="V5" s="2">
        <f t="shared" si="0"/>
        <v>457</v>
      </c>
    </row>
    <row r="6" spans="1:22" x14ac:dyDescent="0.2">
      <c r="A6" s="8" t="s">
        <v>44</v>
      </c>
      <c r="B6" s="6">
        <v>44417</v>
      </c>
      <c r="C6" s="6">
        <v>44782</v>
      </c>
      <c r="D6" s="3" t="s">
        <v>26</v>
      </c>
      <c r="E6" s="3" t="s">
        <v>20</v>
      </c>
      <c r="F6" s="4">
        <v>171586.97</v>
      </c>
      <c r="G6" s="4">
        <v>965</v>
      </c>
      <c r="H6" s="4">
        <v>0</v>
      </c>
      <c r="I6" s="4" t="s">
        <v>17</v>
      </c>
      <c r="J6" s="4">
        <f>H6*1.2</f>
        <v>0</v>
      </c>
      <c r="K6" s="4">
        <v>1541</v>
      </c>
      <c r="L6" s="4" t="s">
        <v>18</v>
      </c>
      <c r="M6" s="4">
        <v>3735</v>
      </c>
      <c r="N6" s="4" t="s">
        <v>18</v>
      </c>
      <c r="O6" s="4">
        <v>42</v>
      </c>
      <c r="P6" s="4"/>
      <c r="Q6" s="4"/>
      <c r="R6" s="4"/>
      <c r="S6" s="4">
        <v>3915</v>
      </c>
      <c r="T6" s="4" t="s">
        <v>23</v>
      </c>
      <c r="U6" s="4">
        <f>G6-J6-O6-R6</f>
        <v>923</v>
      </c>
      <c r="V6" s="2">
        <f t="shared" si="0"/>
        <v>89</v>
      </c>
    </row>
    <row r="7" spans="1:22" x14ac:dyDescent="0.2">
      <c r="A7" s="8" t="s">
        <v>45</v>
      </c>
      <c r="B7" s="6">
        <v>44418</v>
      </c>
      <c r="C7" s="6">
        <v>44783</v>
      </c>
      <c r="D7" s="3" t="s">
        <v>32</v>
      </c>
      <c r="E7" s="3" t="s">
        <v>20</v>
      </c>
      <c r="F7" s="4">
        <v>154935.85999999999</v>
      </c>
      <c r="G7" s="4">
        <v>18308</v>
      </c>
      <c r="H7" s="4">
        <v>0</v>
      </c>
      <c r="I7" s="4" t="s">
        <v>17</v>
      </c>
      <c r="J7" s="4">
        <f>H7*1.2</f>
        <v>0</v>
      </c>
      <c r="K7" s="4">
        <v>5892</v>
      </c>
      <c r="L7" s="4" t="s">
        <v>18</v>
      </c>
      <c r="M7" s="4">
        <v>3142</v>
      </c>
      <c r="N7" s="4" t="s">
        <v>18</v>
      </c>
      <c r="O7" s="4">
        <v>15493</v>
      </c>
      <c r="P7" s="4"/>
      <c r="Q7" s="4"/>
      <c r="R7" s="4"/>
      <c r="S7" s="4">
        <v>2883</v>
      </c>
      <c r="T7" s="4" t="s">
        <v>23</v>
      </c>
      <c r="U7" s="4">
        <f>G7-J7-O7-R7</f>
        <v>2815</v>
      </c>
      <c r="V7" s="2">
        <f t="shared" si="0"/>
        <v>272</v>
      </c>
    </row>
    <row r="8" spans="1:22" x14ac:dyDescent="0.2">
      <c r="A8" s="8" t="s">
        <v>46</v>
      </c>
      <c r="B8" s="6">
        <v>44425</v>
      </c>
      <c r="C8" s="6">
        <v>44790</v>
      </c>
      <c r="D8" s="3" t="s">
        <v>24</v>
      </c>
      <c r="E8" s="3" t="s">
        <v>20</v>
      </c>
      <c r="F8" s="4">
        <v>78043.259999999995</v>
      </c>
      <c r="G8" s="4">
        <v>8740</v>
      </c>
      <c r="H8" s="4">
        <v>0</v>
      </c>
      <c r="I8" s="4" t="s">
        <v>21</v>
      </c>
      <c r="J8" s="4">
        <f>H8*1.2</f>
        <v>0</v>
      </c>
      <c r="K8" s="4">
        <v>3247</v>
      </c>
      <c r="L8" s="4" t="s">
        <v>18</v>
      </c>
      <c r="M8" s="4">
        <v>1732</v>
      </c>
      <c r="N8" s="4" t="s">
        <v>18</v>
      </c>
      <c r="O8" s="4">
        <v>7804</v>
      </c>
      <c r="P8" s="4"/>
      <c r="Q8" s="4"/>
      <c r="R8" s="4"/>
      <c r="S8" s="4">
        <v>1872</v>
      </c>
      <c r="T8" s="4" t="s">
        <v>23</v>
      </c>
      <c r="U8" s="4">
        <f>G8-J8-O8-R8</f>
        <v>936</v>
      </c>
      <c r="V8" s="2">
        <f t="shared" si="0"/>
        <v>90</v>
      </c>
    </row>
    <row r="9" spans="1:22" x14ac:dyDescent="0.2">
      <c r="A9" s="8" t="s">
        <v>47</v>
      </c>
      <c r="B9" s="6">
        <v>44431</v>
      </c>
      <c r="C9" s="6">
        <v>44796</v>
      </c>
      <c r="D9" s="3" t="s">
        <v>29</v>
      </c>
      <c r="E9" s="3" t="s">
        <v>20</v>
      </c>
      <c r="F9" s="4">
        <v>139362.43</v>
      </c>
      <c r="G9" s="4">
        <v>139362</v>
      </c>
      <c r="H9" s="4">
        <v>28613</v>
      </c>
      <c r="I9" s="4" t="s">
        <v>17</v>
      </c>
      <c r="J9" s="4">
        <f>H9*1.2</f>
        <v>34335.599999999999</v>
      </c>
      <c r="K9" s="4">
        <v>4768</v>
      </c>
      <c r="L9" s="4" t="s">
        <v>18</v>
      </c>
      <c r="M9" s="4">
        <v>2543</v>
      </c>
      <c r="N9" s="4" t="s">
        <v>18</v>
      </c>
      <c r="O9" s="4">
        <v>13936</v>
      </c>
      <c r="P9" s="4"/>
      <c r="Q9" s="4"/>
      <c r="R9" s="4"/>
      <c r="S9" s="4">
        <v>11127</v>
      </c>
      <c r="T9" s="4" t="s">
        <v>23</v>
      </c>
      <c r="U9" s="4">
        <f>G9-J9-O9-R9</f>
        <v>91090.4</v>
      </c>
      <c r="V9" s="2">
        <f t="shared" si="0"/>
        <v>8826</v>
      </c>
    </row>
    <row r="10" spans="1:22" x14ac:dyDescent="0.2">
      <c r="A10" s="8" t="s">
        <v>48</v>
      </c>
      <c r="B10" s="6">
        <v>44439</v>
      </c>
      <c r="C10" s="6">
        <v>44804</v>
      </c>
      <c r="D10" s="3" t="s">
        <v>26</v>
      </c>
      <c r="E10" s="3" t="s">
        <v>20</v>
      </c>
      <c r="F10" s="4">
        <v>118531.76</v>
      </c>
      <c r="G10" s="4">
        <v>12146</v>
      </c>
      <c r="H10" s="4">
        <v>0</v>
      </c>
      <c r="I10" s="4" t="s">
        <v>17</v>
      </c>
      <c r="J10" s="4">
        <f>H10*1.2</f>
        <v>0</v>
      </c>
      <c r="K10" s="4">
        <v>5441</v>
      </c>
      <c r="L10" s="4" t="s">
        <v>18</v>
      </c>
      <c r="M10" s="4">
        <v>2902</v>
      </c>
      <c r="N10" s="4" t="s">
        <v>18</v>
      </c>
      <c r="O10" s="4">
        <v>11853</v>
      </c>
      <c r="P10" s="4"/>
      <c r="Q10" s="4"/>
      <c r="R10" s="4"/>
      <c r="S10" s="4">
        <v>3293</v>
      </c>
      <c r="T10" s="4" t="s">
        <v>23</v>
      </c>
      <c r="U10" s="4">
        <f>G10-J10-O10-R10</f>
        <v>293</v>
      </c>
      <c r="V10" s="2">
        <f t="shared" si="0"/>
        <v>28</v>
      </c>
    </row>
    <row r="11" spans="1:22" x14ac:dyDescent="0.2">
      <c r="A11" s="8" t="s">
        <v>49</v>
      </c>
      <c r="B11" s="6">
        <v>44445</v>
      </c>
      <c r="C11" s="6">
        <v>44810</v>
      </c>
      <c r="D11" s="3" t="s">
        <v>29</v>
      </c>
      <c r="E11" s="3" t="s">
        <v>20</v>
      </c>
      <c r="F11" s="4">
        <v>92147</v>
      </c>
      <c r="G11" s="4">
        <v>10734</v>
      </c>
      <c r="H11" s="4">
        <v>0</v>
      </c>
      <c r="I11" s="4" t="s">
        <v>17</v>
      </c>
      <c r="J11" s="4">
        <f>H11*1.2</f>
        <v>0</v>
      </c>
      <c r="K11" s="4">
        <v>3718</v>
      </c>
      <c r="L11" s="4" t="s">
        <v>18</v>
      </c>
      <c r="M11" s="4">
        <v>1983</v>
      </c>
      <c r="N11" s="4" t="s">
        <v>18</v>
      </c>
      <c r="O11" s="4">
        <v>9214</v>
      </c>
      <c r="P11" s="4"/>
      <c r="Q11" s="4"/>
      <c r="R11" s="4"/>
      <c r="S11" s="4">
        <v>2314</v>
      </c>
      <c r="T11" s="4" t="s">
        <v>23</v>
      </c>
      <c r="U11" s="4">
        <f>G11-J11-O11-R11</f>
        <v>1520</v>
      </c>
      <c r="V11" s="2">
        <f t="shared" si="0"/>
        <v>147</v>
      </c>
    </row>
    <row r="12" spans="1:22" x14ac:dyDescent="0.2">
      <c r="A12" s="8" t="s">
        <v>50</v>
      </c>
      <c r="B12" s="6">
        <v>44448</v>
      </c>
      <c r="C12" s="6">
        <v>44813</v>
      </c>
      <c r="D12" s="3" t="s">
        <v>29</v>
      </c>
      <c r="E12" s="3" t="s">
        <v>20</v>
      </c>
      <c r="F12" s="4">
        <v>148352.67000000001</v>
      </c>
      <c r="G12" s="4">
        <v>15096</v>
      </c>
      <c r="H12" s="4">
        <v>0</v>
      </c>
      <c r="I12" s="4" t="s">
        <v>17</v>
      </c>
      <c r="J12" s="4">
        <f>H12*1.2</f>
        <v>0</v>
      </c>
      <c r="K12" s="4">
        <v>6952</v>
      </c>
      <c r="L12" s="4" t="s">
        <v>18</v>
      </c>
      <c r="M12" s="4">
        <v>3707</v>
      </c>
      <c r="N12" s="4" t="s">
        <v>18</v>
      </c>
      <c r="O12" s="4">
        <v>14835</v>
      </c>
      <c r="P12" s="4"/>
      <c r="Q12" s="4"/>
      <c r="R12" s="4"/>
      <c r="S12" s="4">
        <v>3573</v>
      </c>
      <c r="T12" s="4" t="s">
        <v>23</v>
      </c>
      <c r="U12" s="4">
        <f>G12-J12-O12-R12</f>
        <v>261</v>
      </c>
      <c r="V12" s="2">
        <f t="shared" si="0"/>
        <v>25</v>
      </c>
    </row>
    <row r="13" spans="1:22" x14ac:dyDescent="0.2">
      <c r="A13" s="3"/>
      <c r="B13" s="6"/>
      <c r="C13" s="6"/>
      <c r="D13" s="3"/>
      <c r="E13" s="3"/>
      <c r="F13" s="7">
        <f>SUM(F2:F12)</f>
        <v>1667779.01</v>
      </c>
      <c r="G13" s="7">
        <f t="shared" ref="G13:U13" si="1">SUM(G2:G12)</f>
        <v>255398</v>
      </c>
      <c r="H13" s="7">
        <f t="shared" si="1"/>
        <v>28613</v>
      </c>
      <c r="I13" s="7">
        <f t="shared" si="1"/>
        <v>0</v>
      </c>
      <c r="J13" s="7">
        <f t="shared" si="1"/>
        <v>34335.599999999999</v>
      </c>
      <c r="K13" s="7">
        <f t="shared" si="1"/>
        <v>41098</v>
      </c>
      <c r="L13" s="7">
        <f t="shared" si="1"/>
        <v>0</v>
      </c>
      <c r="M13" s="7">
        <f t="shared" si="1"/>
        <v>36598</v>
      </c>
      <c r="N13" s="7">
        <f t="shared" si="1"/>
        <v>0</v>
      </c>
      <c r="O13" s="7">
        <f t="shared" si="1"/>
        <v>81555</v>
      </c>
      <c r="P13" s="7">
        <f t="shared" si="1"/>
        <v>6259</v>
      </c>
      <c r="Q13" s="7">
        <f t="shared" si="1"/>
        <v>0</v>
      </c>
      <c r="R13" s="7">
        <f t="shared" si="1"/>
        <v>7197.8499999999995</v>
      </c>
      <c r="S13" s="7">
        <f t="shared" si="1"/>
        <v>41447</v>
      </c>
      <c r="T13" s="7">
        <f t="shared" si="1"/>
        <v>0</v>
      </c>
      <c r="U13" s="7">
        <f t="shared" si="1"/>
        <v>132309.54999999999</v>
      </c>
    </row>
    <row r="14" spans="1:22" x14ac:dyDescent="0.2">
      <c r="B14" s="1"/>
      <c r="C14" s="1"/>
    </row>
    <row r="15" spans="1:22" x14ac:dyDescent="0.2">
      <c r="A15" s="3" t="s">
        <v>0</v>
      </c>
      <c r="B15" s="3" t="s">
        <v>1</v>
      </c>
      <c r="C15" s="3" t="s">
        <v>2</v>
      </c>
      <c r="D15" s="3" t="s">
        <v>3</v>
      </c>
      <c r="E15" s="3" t="s">
        <v>4</v>
      </c>
      <c r="F15" s="4" t="s">
        <v>5</v>
      </c>
      <c r="G15" s="4" t="s">
        <v>6</v>
      </c>
      <c r="H15" s="4" t="s">
        <v>7</v>
      </c>
      <c r="I15" s="4" t="s">
        <v>35</v>
      </c>
      <c r="J15" s="5" t="s">
        <v>38</v>
      </c>
      <c r="K15" s="4" t="s">
        <v>8</v>
      </c>
      <c r="L15" s="4" t="s">
        <v>9</v>
      </c>
      <c r="M15" s="4" t="s">
        <v>10</v>
      </c>
      <c r="N15" s="4" t="s">
        <v>11</v>
      </c>
      <c r="O15" s="4" t="s">
        <v>12</v>
      </c>
      <c r="P15" s="4" t="s">
        <v>15</v>
      </c>
      <c r="Q15" s="4" t="s">
        <v>16</v>
      </c>
      <c r="R15" s="4" t="s">
        <v>37</v>
      </c>
      <c r="S15" s="4" t="s">
        <v>13</v>
      </c>
      <c r="T15" s="4" t="s">
        <v>14</v>
      </c>
      <c r="U15" s="4" t="s">
        <v>36</v>
      </c>
    </row>
    <row r="16" spans="1:22" x14ac:dyDescent="0.2">
      <c r="A16" s="3" t="s">
        <v>27</v>
      </c>
      <c r="B16" s="6">
        <v>44379</v>
      </c>
      <c r="C16" s="6">
        <v>44744</v>
      </c>
      <c r="D16" s="3" t="s">
        <v>24</v>
      </c>
      <c r="E16" s="3" t="s">
        <v>20</v>
      </c>
      <c r="F16" s="4">
        <v>143539.26999999999</v>
      </c>
      <c r="G16" s="4">
        <v>143539</v>
      </c>
      <c r="H16" s="4">
        <v>40521</v>
      </c>
      <c r="I16" s="4" t="s">
        <v>17</v>
      </c>
      <c r="J16" s="4">
        <f>H16*1.2</f>
        <v>48625.2</v>
      </c>
      <c r="K16" s="4">
        <v>6753</v>
      </c>
      <c r="L16" s="4" t="s">
        <v>28</v>
      </c>
      <c r="M16" s="4">
        <v>3601</v>
      </c>
      <c r="N16" s="4" t="s">
        <v>18</v>
      </c>
      <c r="O16" s="4">
        <v>14353</v>
      </c>
      <c r="P16" s="4"/>
      <c r="Q16" s="4"/>
      <c r="R16" s="4"/>
      <c r="S16" s="4">
        <v>15758</v>
      </c>
      <c r="T16" s="4" t="s">
        <v>23</v>
      </c>
      <c r="U16" s="4">
        <f>G16-J16-O16-R16</f>
        <v>80560.800000000003</v>
      </c>
    </row>
    <row r="17" spans="1:21" x14ac:dyDescent="0.2">
      <c r="A17" s="3" t="s">
        <v>30</v>
      </c>
      <c r="B17" s="6">
        <v>44399</v>
      </c>
      <c r="C17" s="6">
        <v>44764</v>
      </c>
      <c r="D17" s="3" t="s">
        <v>31</v>
      </c>
      <c r="E17" s="3" t="s">
        <v>20</v>
      </c>
      <c r="F17" s="4">
        <v>23603.84</v>
      </c>
      <c r="G17" s="4">
        <v>23604</v>
      </c>
      <c r="H17" s="4">
        <v>6622</v>
      </c>
      <c r="I17" s="4" t="s">
        <v>17</v>
      </c>
      <c r="J17" s="4">
        <f>H17*1.2</f>
        <v>7946.4</v>
      </c>
      <c r="K17" s="4">
        <v>1103</v>
      </c>
      <c r="L17" s="4" t="s">
        <v>18</v>
      </c>
      <c r="M17" s="4">
        <v>588</v>
      </c>
      <c r="N17" s="4" t="s">
        <v>18</v>
      </c>
      <c r="O17" s="4">
        <v>2360</v>
      </c>
      <c r="P17" s="4"/>
      <c r="Q17" s="4"/>
      <c r="R17" s="4"/>
      <c r="S17" s="4">
        <v>2575</v>
      </c>
      <c r="T17" s="4" t="s">
        <v>23</v>
      </c>
      <c r="U17" s="4">
        <f>G17-J17-O17-R17</f>
        <v>13297.6</v>
      </c>
    </row>
    <row r="18" spans="1:21" x14ac:dyDescent="0.2">
      <c r="A18" s="3" t="s">
        <v>33</v>
      </c>
      <c r="B18" s="6">
        <v>44464</v>
      </c>
      <c r="C18" s="6">
        <v>44829</v>
      </c>
      <c r="D18" s="3" t="s">
        <v>34</v>
      </c>
      <c r="E18" s="3" t="s">
        <v>20</v>
      </c>
      <c r="F18" s="4">
        <v>55230.84</v>
      </c>
      <c r="G18" s="4">
        <v>55231</v>
      </c>
      <c r="H18" s="4">
        <v>11190</v>
      </c>
      <c r="I18" s="4" t="s">
        <v>17</v>
      </c>
      <c r="J18" s="4">
        <f>H18*1.2</f>
        <v>13428</v>
      </c>
      <c r="K18" s="4">
        <v>1865</v>
      </c>
      <c r="L18" s="4" t="s">
        <v>18</v>
      </c>
      <c r="M18" s="4">
        <v>994</v>
      </c>
      <c r="N18" s="4" t="s">
        <v>18</v>
      </c>
      <c r="O18" s="4">
        <v>5523</v>
      </c>
      <c r="P18" s="4"/>
      <c r="Q18" s="4"/>
      <c r="R18" s="4"/>
      <c r="S18" s="4">
        <v>4351</v>
      </c>
      <c r="T18" s="4" t="s">
        <v>23</v>
      </c>
      <c r="U18" s="4">
        <f>G18-J18-O18-R18</f>
        <v>36280</v>
      </c>
    </row>
    <row r="19" spans="1:21" x14ac:dyDescent="0.2">
      <c r="A19" s="3"/>
      <c r="B19" s="6"/>
      <c r="C19" s="6"/>
      <c r="D19" s="3"/>
      <c r="E19" s="3"/>
      <c r="F19" s="7">
        <f>SUM(F16:F18)</f>
        <v>222373.94999999998</v>
      </c>
      <c r="G19" s="7">
        <f t="shared" ref="G19:U19" si="2">SUM(G16:G18)</f>
        <v>222374</v>
      </c>
      <c r="H19" s="7">
        <f t="shared" si="2"/>
        <v>58333</v>
      </c>
      <c r="I19" s="7">
        <f t="shared" si="2"/>
        <v>0</v>
      </c>
      <c r="J19" s="7">
        <f t="shared" si="2"/>
        <v>69999.600000000006</v>
      </c>
      <c r="K19" s="7">
        <f t="shared" si="2"/>
        <v>9721</v>
      </c>
      <c r="L19" s="7">
        <f t="shared" si="2"/>
        <v>0</v>
      </c>
      <c r="M19" s="7">
        <f t="shared" si="2"/>
        <v>5183</v>
      </c>
      <c r="N19" s="7">
        <f t="shared" si="2"/>
        <v>0</v>
      </c>
      <c r="O19" s="7">
        <f t="shared" si="2"/>
        <v>22236</v>
      </c>
      <c r="P19" s="7">
        <f t="shared" si="2"/>
        <v>0</v>
      </c>
      <c r="Q19" s="7">
        <f t="shared" si="2"/>
        <v>0</v>
      </c>
      <c r="R19" s="7">
        <f t="shared" si="2"/>
        <v>0</v>
      </c>
      <c r="S19" s="7">
        <f t="shared" si="2"/>
        <v>22684</v>
      </c>
      <c r="T19" s="7">
        <f t="shared" si="2"/>
        <v>0</v>
      </c>
      <c r="U19" s="7">
        <f t="shared" si="2"/>
        <v>130138.40000000001</v>
      </c>
    </row>
    <row r="20" spans="1:21" x14ac:dyDescent="0.2">
      <c r="B20" s="1"/>
      <c r="C20" s="1"/>
    </row>
    <row r="21" spans="1:21" x14ac:dyDescent="0.2">
      <c r="B21" s="1"/>
      <c r="C21" s="1"/>
    </row>
    <row r="22" spans="1:21" x14ac:dyDescent="0.2">
      <c r="B22" s="1"/>
      <c r="C22" s="1"/>
    </row>
    <row r="23" spans="1:21" x14ac:dyDescent="0.2">
      <c r="A23" s="3"/>
      <c r="B23" s="3"/>
      <c r="C23" s="3"/>
      <c r="D23" s="3"/>
      <c r="E23" s="3"/>
      <c r="F23" s="4"/>
      <c r="G23" s="4"/>
      <c r="H23" s="4"/>
      <c r="I23" s="4"/>
      <c r="J23" s="5" t="s">
        <v>39</v>
      </c>
      <c r="K23" s="4"/>
      <c r="L23" s="4"/>
      <c r="M23" s="4"/>
      <c r="N23" s="4"/>
      <c r="O23" s="4"/>
      <c r="P23" s="4"/>
      <c r="Q23" s="4"/>
      <c r="R23" s="4">
        <v>1.1499999999999999</v>
      </c>
      <c r="S23" s="4"/>
      <c r="T23" s="4"/>
      <c r="U23" s="4"/>
    </row>
    <row r="24" spans="1:21" x14ac:dyDescent="0.2">
      <c r="B24" s="1"/>
      <c r="C24" s="1"/>
    </row>
    <row r="25" spans="1:21" x14ac:dyDescent="0.2">
      <c r="B25" s="1"/>
      <c r="C25" s="1"/>
    </row>
    <row r="26" spans="1:21" x14ac:dyDescent="0.2">
      <c r="B26" s="1"/>
      <c r="C26" s="1"/>
    </row>
    <row r="27" spans="1:21" x14ac:dyDescent="0.2">
      <c r="B27" s="1"/>
      <c r="C27" s="1"/>
    </row>
    <row r="28" spans="1:21" x14ac:dyDescent="0.2">
      <c r="B28" s="1"/>
      <c r="C28" s="1"/>
    </row>
    <row r="29" spans="1:21" x14ac:dyDescent="0.2">
      <c r="B29" s="1"/>
      <c r="C29" s="1"/>
    </row>
    <row r="30" spans="1:21" x14ac:dyDescent="0.2">
      <c r="B30" s="1"/>
      <c r="C30" s="1"/>
    </row>
    <row r="31" spans="1:21" x14ac:dyDescent="0.2">
      <c r="B31" s="1"/>
      <c r="C31" s="1"/>
    </row>
    <row r="32" spans="1:21" x14ac:dyDescent="0.2">
      <c r="B32" s="1"/>
      <c r="C32" s="1"/>
    </row>
    <row r="33" spans="2:3" x14ac:dyDescent="0.2">
      <c r="B33" s="1"/>
      <c r="C33" s="1"/>
    </row>
    <row r="34" spans="2:3" x14ac:dyDescent="0.2">
      <c r="B34" s="1"/>
      <c r="C34" s="1"/>
    </row>
    <row r="35" spans="2:3" x14ac:dyDescent="0.2">
      <c r="B35" s="1"/>
      <c r="C35" s="1"/>
    </row>
    <row r="36" spans="2:3" x14ac:dyDescent="0.2">
      <c r="B36" s="1"/>
      <c r="C36" s="1"/>
    </row>
    <row r="37" spans="2:3" x14ac:dyDescent="0.2">
      <c r="B37" s="1"/>
      <c r="C37" s="1"/>
    </row>
    <row r="38" spans="2:3" x14ac:dyDescent="0.2">
      <c r="B38" s="1"/>
      <c r="C38" s="1"/>
    </row>
    <row r="39" spans="2:3" x14ac:dyDescent="0.2">
      <c r="B39" s="1"/>
      <c r="C39" s="1"/>
    </row>
    <row r="40" spans="2:3" x14ac:dyDescent="0.2">
      <c r="B40" s="1"/>
      <c r="C40" s="1"/>
    </row>
    <row r="41" spans="2:3" x14ac:dyDescent="0.2">
      <c r="B41" s="1"/>
      <c r="C41" s="1"/>
    </row>
    <row r="42" spans="2:3" x14ac:dyDescent="0.2">
      <c r="B42" s="1"/>
      <c r="C42" s="1"/>
    </row>
  </sheetData>
  <autoFilter ref="A1:U1">
    <sortState xmlns:xlrd2="http://schemas.microsoft.com/office/spreadsheetml/2017/richdata2" ref="A2:U18">
      <sortCondition ref="C1:C18"/>
    </sortState>
  </autoFilter>
  <pageMargins left="0.25" right="0.25" top="0.75" bottom="0.75" header="0.3" footer="0.3"/>
  <pageSetup paperSize="9" scale="4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biscuits_lived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2021-10-21T09:57:32Z</cp:lastPrinted>
  <dcterms:created xsi:type="dcterms:W3CDTF">2021-10-21T09:38:24Z</dcterms:created>
  <dcterms:modified xsi:type="dcterms:W3CDTF">2021-10-21T11:19:20Z</dcterms:modified>
</cp:coreProperties>
</file>