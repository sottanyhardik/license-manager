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amchaser/Developer/lmanagement/"/>
    </mc:Choice>
  </mc:AlternateContent>
  <xr:revisionPtr revIDLastSave="0" documentId="8_{F59D9F96-B506-7F46-849B-5F2BA85C05B0}" xr6:coauthVersionLast="47" xr6:coauthVersionMax="47" xr10:uidLastSave="{00000000-0000-0000-0000-000000000000}"/>
  <bookViews>
    <workbookView xWindow="1500" yWindow="1320" windowWidth="27640" windowHeight="16940"/>
  </bookViews>
  <sheets>
    <sheet name="assorted_liv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1" l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</calcChain>
</file>

<file path=xl/sharedStrings.xml><?xml version="1.0" encoding="utf-8"?>
<sst xmlns="http://schemas.openxmlformats.org/spreadsheetml/2006/main" count="296" uniqueCount="88">
  <si>
    <t>DFIA</t>
  </si>
  <si>
    <t>DFIA DT</t>
  </si>
  <si>
    <t>DFIA EXP</t>
  </si>
  <si>
    <t>Notf No</t>
  </si>
  <si>
    <t>Exporter</t>
  </si>
  <si>
    <t>TOTAL CIF</t>
  </si>
  <si>
    <t>BAL CIF</t>
  </si>
  <si>
    <t>SUGAR QTY</t>
  </si>
  <si>
    <t>HSN SU</t>
  </si>
  <si>
    <t>ESSENTIAL OIL QTY</t>
  </si>
  <si>
    <t>HSN E</t>
  </si>
  <si>
    <t>VAL 5%</t>
  </si>
  <si>
    <t>VAL 5% Utilized</t>
  </si>
  <si>
    <t>VAL 5% Balance</t>
  </si>
  <si>
    <t>Other Qty</t>
  </si>
  <si>
    <t>Other</t>
  </si>
  <si>
    <t>VAL 2%</t>
  </si>
  <si>
    <t>VAL 2% Utilized</t>
  </si>
  <si>
    <t>VAL 2% Balance</t>
  </si>
  <si>
    <t>PP QTY</t>
  </si>
  <si>
    <t>HSN PP</t>
  </si>
  <si>
    <t>Paper &amp; Paper Board</t>
  </si>
  <si>
    <t>HSN PAP</t>
  </si>
  <si>
    <t>Is Individual</t>
  </si>
  <si>
    <t>'0310835231</t>
  </si>
  <si>
    <t>019/2015</t>
  </si>
  <si>
    <t>SAGAR FOOD PROD</t>
  </si>
  <si>
    <t>'17019990</t>
  </si>
  <si>
    <t>'33021010</t>
  </si>
  <si>
    <t>'08020000</t>
  </si>
  <si>
    <t>'39020000</t>
  </si>
  <si>
    <t>'0310835198</t>
  </si>
  <si>
    <t>SHIVAM EXPORTS</t>
  </si>
  <si>
    <t>'08022200</t>
  </si>
  <si>
    <t>'0310835516</t>
  </si>
  <si>
    <t>RANI INTERNATIO</t>
  </si>
  <si>
    <t>'17010000</t>
  </si>
  <si>
    <t>'39021000</t>
  </si>
  <si>
    <t>'48101990</t>
  </si>
  <si>
    <t>'0310835584</t>
  </si>
  <si>
    <t>'08023100</t>
  </si>
  <si>
    <t>'0310835522</t>
  </si>
  <si>
    <t>KRISH FOOD INDU</t>
  </si>
  <si>
    <t>'09080000</t>
  </si>
  <si>
    <t>'29180000</t>
  </si>
  <si>
    <t>'33010000</t>
  </si>
  <si>
    <t>'48010000</t>
  </si>
  <si>
    <t>'0310837231</t>
  </si>
  <si>
    <t>PHOENIX IMPEX</t>
  </si>
  <si>
    <t>'17011190</t>
  </si>
  <si>
    <t>'0310837230</t>
  </si>
  <si>
    <t>'0310835515</t>
  </si>
  <si>
    <t>'15119020</t>
  </si>
  <si>
    <t>'0310838326</t>
  </si>
  <si>
    <t>RAMA EXPORTS</t>
  </si>
  <si>
    <t>'33011200</t>
  </si>
  <si>
    <t>'0310838320</t>
  </si>
  <si>
    <t>'0310838322</t>
  </si>
  <si>
    <t>'0310838176</t>
  </si>
  <si>
    <t>'0310838039</t>
  </si>
  <si>
    <t>'0310838036</t>
  </si>
  <si>
    <t>'0310838034</t>
  </si>
  <si>
    <t>'0310838414</t>
  </si>
  <si>
    <t>AASHIRWAD PRODU</t>
  </si>
  <si>
    <t>'0310838697</t>
  </si>
  <si>
    <t>'39012000</t>
  </si>
  <si>
    <t>'0310838758</t>
  </si>
  <si>
    <t>'0310838862</t>
  </si>
  <si>
    <t>CONTINENTAL EXP</t>
  </si>
  <si>
    <t>'0310838037</t>
  </si>
  <si>
    <t>'17011490</t>
  </si>
  <si>
    <t>'15119010</t>
  </si>
  <si>
    <t>'0310839139</t>
  </si>
  <si>
    <t>'0310839125</t>
  </si>
  <si>
    <t>'0310839062</t>
  </si>
  <si>
    <t>'0310838966</t>
  </si>
  <si>
    <t>'0310839116</t>
  </si>
  <si>
    <t>'0310839069</t>
  </si>
  <si>
    <t>'0310839460</t>
  </si>
  <si>
    <t>'0310837441</t>
  </si>
  <si>
    <t>'0310835562</t>
  </si>
  <si>
    <t>'33012590</t>
  </si>
  <si>
    <t>'0310835559</t>
  </si>
  <si>
    <t>'0310839625</t>
  </si>
  <si>
    <t>'0310835561</t>
  </si>
  <si>
    <t>'0310837555</t>
  </si>
  <si>
    <t>'0310839542</t>
  </si>
  <si>
    <t>'0310839541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</si>
</sst>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43" fontId="0" fillId="0" borderId="10" xfId="1" applyFont="1" applyBorder="1"/>
    <xf numFmtId="43" fontId="0" fillId="0" borderId="0" xfId="1" applyFont="1"/>
    <xf numFmtId="43" fontId="16" fillId="0" borderId="0" xfId="1" applyFont="1"/>
    <xf numFmtId="43" fontId="18" fillId="33" borderId="10" xfId="1" applyFont="1" applyFill="1" applyBorder="1"/>
    <xf numFmtId="43" fontId="14" fillId="33" borderId="1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tabSelected="1" workbookViewId="0">
      <selection activeCell="Y12" sqref="Y1:Y1048576"/>
    </sheetView>
  </sheetViews>
  <sheetFormatPr baseColWidth="10" defaultRowHeight="16" x14ac:dyDescent="0.2"/>
  <cols>
    <col min="1" max="1" width="11.6640625" bestFit="1" customWidth="1"/>
    <col min="2" max="3" width="8.83203125" bestFit="1" customWidth="1"/>
    <col min="4" max="4" width="9" bestFit="1" customWidth="1"/>
    <col min="5" max="5" width="18.1640625" bestFit="1" customWidth="1"/>
    <col min="6" max="6" width="14.5" style="4" bestFit="1" customWidth="1"/>
    <col min="7" max="8" width="13" style="4" bestFit="1" customWidth="1"/>
    <col min="9" max="9" width="11" style="4" bestFit="1" customWidth="1"/>
    <col min="10" max="10" width="18.5" style="4" bestFit="1" customWidth="1"/>
    <col min="11" max="11" width="11" style="4" bestFit="1" customWidth="1"/>
    <col min="12" max="12" width="12" style="4" bestFit="1" customWidth="1"/>
    <col min="13" max="13" width="15.5" style="4" bestFit="1" customWidth="1"/>
    <col min="14" max="14" width="15.6640625" style="4" bestFit="1" customWidth="1"/>
    <col min="15" max="15" width="12" style="4" bestFit="1" customWidth="1"/>
    <col min="16" max="16" width="11" style="4" bestFit="1" customWidth="1"/>
    <col min="17" max="17" width="12" style="4" bestFit="1" customWidth="1"/>
    <col min="18" max="18" width="15.5" style="4" bestFit="1" customWidth="1"/>
    <col min="19" max="19" width="15.6640625" style="4" bestFit="1" customWidth="1"/>
    <col min="20" max="20" width="12" style="4" bestFit="1" customWidth="1"/>
    <col min="21" max="21" width="11" style="4" bestFit="1" customWidth="1"/>
    <col min="22" max="22" width="19.6640625" style="4" bestFit="1" customWidth="1"/>
    <col min="23" max="23" width="11" style="4" bestFit="1" customWidth="1"/>
    <col min="24" max="24" width="12.1640625" style="4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">
      <c r="A2" s="1" t="s">
        <v>24</v>
      </c>
      <c r="B2" s="2">
        <v>43895</v>
      </c>
      <c r="C2" s="2">
        <v>44286</v>
      </c>
      <c r="D2" s="1" t="s">
        <v>25</v>
      </c>
      <c r="E2" s="1" t="s">
        <v>26</v>
      </c>
      <c r="F2" s="3">
        <v>130046.33</v>
      </c>
      <c r="G2" s="3">
        <v>119970</v>
      </c>
      <c r="H2" s="3">
        <v>113984</v>
      </c>
      <c r="I2" s="3" t="s">
        <v>27</v>
      </c>
      <c r="J2" s="3">
        <v>949</v>
      </c>
      <c r="K2" s="3" t="s">
        <v>28</v>
      </c>
      <c r="L2" s="3">
        <v>6502</v>
      </c>
      <c r="M2" s="3">
        <v>0</v>
      </c>
      <c r="N2" s="3">
        <v>6502</v>
      </c>
      <c r="O2" s="3">
        <v>8198</v>
      </c>
      <c r="P2" s="3" t="s">
        <v>29</v>
      </c>
      <c r="Q2" s="3">
        <v>2600</v>
      </c>
      <c r="R2" s="3">
        <v>2472</v>
      </c>
      <c r="S2" s="3">
        <v>128</v>
      </c>
      <c r="T2" s="3">
        <v>0</v>
      </c>
      <c r="U2" s="3" t="s">
        <v>30</v>
      </c>
      <c r="V2" s="3"/>
      <c r="W2" s="3"/>
      <c r="X2" s="3" t="b">
        <v>0</v>
      </c>
    </row>
    <row r="3" spans="1:24" x14ac:dyDescent="0.2">
      <c r="A3" s="1" t="s">
        <v>31</v>
      </c>
      <c r="B3" s="2">
        <v>43894</v>
      </c>
      <c r="C3" s="2">
        <v>44286</v>
      </c>
      <c r="D3" s="1" t="s">
        <v>25</v>
      </c>
      <c r="E3" s="1" t="s">
        <v>32</v>
      </c>
      <c r="F3" s="3">
        <v>149609.66</v>
      </c>
      <c r="G3" s="3">
        <v>133079</v>
      </c>
      <c r="H3" s="3">
        <v>122778</v>
      </c>
      <c r="I3" s="3" t="s">
        <v>27</v>
      </c>
      <c r="J3" s="3">
        <v>1023</v>
      </c>
      <c r="K3" s="3" t="s">
        <v>28</v>
      </c>
      <c r="L3" s="3">
        <v>7480</v>
      </c>
      <c r="M3" s="3">
        <v>0</v>
      </c>
      <c r="N3" s="3">
        <v>7480</v>
      </c>
      <c r="O3" s="3">
        <v>1496</v>
      </c>
      <c r="P3" s="3" t="s">
        <v>29</v>
      </c>
      <c r="Q3" s="3">
        <v>2992</v>
      </c>
      <c r="R3" s="3">
        <v>2845</v>
      </c>
      <c r="S3" s="3">
        <v>147</v>
      </c>
      <c r="T3" s="3">
        <v>0</v>
      </c>
      <c r="U3" s="3" t="s">
        <v>30</v>
      </c>
      <c r="V3" s="3"/>
      <c r="W3" s="3"/>
      <c r="X3" s="3" t="b">
        <v>0</v>
      </c>
    </row>
    <row r="4" spans="1:24" x14ac:dyDescent="0.2">
      <c r="A4" s="1" t="s">
        <v>34</v>
      </c>
      <c r="B4" s="2">
        <v>43909</v>
      </c>
      <c r="C4" s="2">
        <v>44274</v>
      </c>
      <c r="D4" s="1" t="s">
        <v>25</v>
      </c>
      <c r="E4" s="1" t="s">
        <v>35</v>
      </c>
      <c r="F4" s="3">
        <v>2426651.83</v>
      </c>
      <c r="G4" s="3">
        <v>2132597</v>
      </c>
      <c r="H4" s="3">
        <v>1681636</v>
      </c>
      <c r="I4" s="3" t="s">
        <v>36</v>
      </c>
      <c r="J4" s="3">
        <v>14013</v>
      </c>
      <c r="K4" s="3" t="s">
        <v>28</v>
      </c>
      <c r="L4" s="3">
        <v>121332</v>
      </c>
      <c r="M4" s="3">
        <v>0</v>
      </c>
      <c r="N4" s="3">
        <v>121332</v>
      </c>
      <c r="O4" s="3">
        <v>115407</v>
      </c>
      <c r="P4" s="3" t="s">
        <v>29</v>
      </c>
      <c r="Q4" s="3">
        <v>48533</v>
      </c>
      <c r="R4" s="3">
        <v>47864</v>
      </c>
      <c r="S4" s="3">
        <v>669</v>
      </c>
      <c r="T4" s="3">
        <v>0</v>
      </c>
      <c r="U4" s="3" t="s">
        <v>37</v>
      </c>
      <c r="V4" s="3">
        <v>0</v>
      </c>
      <c r="W4" s="3" t="s">
        <v>38</v>
      </c>
      <c r="X4" s="3" t="b">
        <v>0</v>
      </c>
    </row>
    <row r="5" spans="1:24" x14ac:dyDescent="0.2">
      <c r="A5" s="1" t="s">
        <v>39</v>
      </c>
      <c r="B5" s="2">
        <v>43910</v>
      </c>
      <c r="C5" s="2">
        <v>44286</v>
      </c>
      <c r="D5" s="1" t="s">
        <v>25</v>
      </c>
      <c r="E5" s="1" t="s">
        <v>35</v>
      </c>
      <c r="F5" s="3">
        <v>104713.18</v>
      </c>
      <c r="G5" s="3">
        <v>97500</v>
      </c>
      <c r="H5" s="3">
        <v>68205</v>
      </c>
      <c r="I5" s="3" t="s">
        <v>36</v>
      </c>
      <c r="J5" s="3">
        <v>568</v>
      </c>
      <c r="K5" s="3" t="s">
        <v>28</v>
      </c>
      <c r="L5" s="3">
        <v>5235</v>
      </c>
      <c r="M5" s="3">
        <v>0</v>
      </c>
      <c r="N5" s="3">
        <v>5235</v>
      </c>
      <c r="O5" s="3">
        <v>4637</v>
      </c>
      <c r="P5" s="3" t="s">
        <v>40</v>
      </c>
      <c r="Q5" s="3">
        <v>2094</v>
      </c>
      <c r="R5" s="3">
        <v>1989</v>
      </c>
      <c r="S5" s="3">
        <v>105</v>
      </c>
      <c r="T5" s="3">
        <v>0</v>
      </c>
      <c r="U5" s="3" t="s">
        <v>37</v>
      </c>
      <c r="V5" s="3">
        <v>3012</v>
      </c>
      <c r="W5" s="3" t="s">
        <v>38</v>
      </c>
      <c r="X5" s="3" t="b">
        <v>0</v>
      </c>
    </row>
    <row r="6" spans="1:24" x14ac:dyDescent="0.2">
      <c r="A6" s="1" t="s">
        <v>47</v>
      </c>
      <c r="B6" s="2">
        <v>44028</v>
      </c>
      <c r="C6" s="2">
        <v>44408</v>
      </c>
      <c r="D6" s="1" t="s">
        <v>25</v>
      </c>
      <c r="E6" s="1" t="s">
        <v>48</v>
      </c>
      <c r="F6" s="3">
        <v>96446.09</v>
      </c>
      <c r="G6" s="3">
        <v>86567</v>
      </c>
      <c r="H6" s="3">
        <v>60240</v>
      </c>
      <c r="I6" s="3" t="s">
        <v>49</v>
      </c>
      <c r="J6" s="3"/>
      <c r="K6" s="3"/>
      <c r="L6" s="3">
        <v>4822</v>
      </c>
      <c r="M6" s="3">
        <v>0</v>
      </c>
      <c r="N6" s="3">
        <v>4822</v>
      </c>
      <c r="O6" s="3">
        <v>4078</v>
      </c>
      <c r="P6" s="3" t="s">
        <v>40</v>
      </c>
      <c r="Q6" s="3">
        <v>1928</v>
      </c>
      <c r="R6" s="3">
        <v>1912</v>
      </c>
      <c r="S6" s="3">
        <v>16</v>
      </c>
      <c r="T6" s="3">
        <v>0</v>
      </c>
      <c r="U6" s="3" t="s">
        <v>37</v>
      </c>
      <c r="V6" s="3"/>
      <c r="W6" s="3"/>
      <c r="X6" s="3" t="b">
        <v>0</v>
      </c>
    </row>
    <row r="7" spans="1:24" x14ac:dyDescent="0.2">
      <c r="A7" s="1" t="s">
        <v>50</v>
      </c>
      <c r="B7" s="2">
        <v>44028</v>
      </c>
      <c r="C7" s="2">
        <v>44408</v>
      </c>
      <c r="D7" s="1" t="s">
        <v>25</v>
      </c>
      <c r="E7" s="1" t="s">
        <v>48</v>
      </c>
      <c r="F7" s="3">
        <v>157360.09</v>
      </c>
      <c r="G7" s="3">
        <v>143611</v>
      </c>
      <c r="H7" s="3">
        <v>108876</v>
      </c>
      <c r="I7" s="3" t="s">
        <v>27</v>
      </c>
      <c r="J7" s="3">
        <v>907</v>
      </c>
      <c r="K7" s="3" t="s">
        <v>28</v>
      </c>
      <c r="L7" s="3">
        <v>7868</v>
      </c>
      <c r="M7" s="3">
        <v>0</v>
      </c>
      <c r="N7" s="3">
        <v>7868</v>
      </c>
      <c r="O7" s="3">
        <v>7533</v>
      </c>
      <c r="P7" s="3" t="s">
        <v>29</v>
      </c>
      <c r="Q7" s="3">
        <v>3147</v>
      </c>
      <c r="R7" s="3">
        <v>3125</v>
      </c>
      <c r="S7" s="3">
        <v>22</v>
      </c>
      <c r="T7" s="3">
        <v>0</v>
      </c>
      <c r="U7" s="3" t="s">
        <v>30</v>
      </c>
      <c r="V7" s="3"/>
      <c r="W7" s="3"/>
      <c r="X7" s="3" t="b">
        <v>0</v>
      </c>
    </row>
    <row r="8" spans="1:24" x14ac:dyDescent="0.2">
      <c r="A8" s="1" t="s">
        <v>51</v>
      </c>
      <c r="B8" s="2">
        <v>43909</v>
      </c>
      <c r="C8" s="2">
        <v>44286</v>
      </c>
      <c r="D8" s="1" t="s">
        <v>25</v>
      </c>
      <c r="E8" s="1" t="s">
        <v>35</v>
      </c>
      <c r="F8" s="3">
        <v>188956.49</v>
      </c>
      <c r="G8" s="3">
        <v>179308</v>
      </c>
      <c r="H8" s="3">
        <v>137948</v>
      </c>
      <c r="I8" s="3" t="s">
        <v>27</v>
      </c>
      <c r="J8" s="3">
        <v>1149</v>
      </c>
      <c r="K8" s="3" t="s">
        <v>28</v>
      </c>
      <c r="L8" s="3">
        <v>9447</v>
      </c>
      <c r="M8" s="3">
        <v>0</v>
      </c>
      <c r="N8" s="3">
        <v>9447</v>
      </c>
      <c r="O8" s="3">
        <v>11495</v>
      </c>
      <c r="P8" s="3" t="s">
        <v>52</v>
      </c>
      <c r="Q8" s="3">
        <v>3779</v>
      </c>
      <c r="R8" s="3">
        <v>0</v>
      </c>
      <c r="S8" s="3">
        <v>3779</v>
      </c>
      <c r="T8" s="3">
        <v>0</v>
      </c>
      <c r="U8" s="3" t="s">
        <v>37</v>
      </c>
      <c r="V8" s="3">
        <v>6092</v>
      </c>
      <c r="W8" s="3" t="s">
        <v>38</v>
      </c>
      <c r="X8" s="3" t="b">
        <v>0</v>
      </c>
    </row>
    <row r="9" spans="1:24" x14ac:dyDescent="0.2">
      <c r="A9" s="1" t="s">
        <v>53</v>
      </c>
      <c r="B9" s="2">
        <v>44090</v>
      </c>
      <c r="C9" s="2">
        <v>44469</v>
      </c>
      <c r="D9" s="1" t="s">
        <v>25</v>
      </c>
      <c r="E9" s="1" t="s">
        <v>54</v>
      </c>
      <c r="F9" s="3">
        <v>155230.26999999999</v>
      </c>
      <c r="G9" s="3">
        <v>144338</v>
      </c>
      <c r="H9" s="3">
        <v>109470</v>
      </c>
      <c r="I9" s="3" t="s">
        <v>27</v>
      </c>
      <c r="J9" s="3">
        <v>912</v>
      </c>
      <c r="K9" s="3" t="s">
        <v>55</v>
      </c>
      <c r="L9" s="3">
        <v>7761</v>
      </c>
      <c r="M9" s="3">
        <v>0</v>
      </c>
      <c r="N9" s="3">
        <v>7761</v>
      </c>
      <c r="O9" s="3">
        <v>7603</v>
      </c>
      <c r="P9" s="3" t="s">
        <v>40</v>
      </c>
      <c r="Q9" s="3">
        <v>3104</v>
      </c>
      <c r="R9" s="3">
        <v>3083</v>
      </c>
      <c r="S9" s="3">
        <v>21</v>
      </c>
      <c r="T9" s="3">
        <v>0</v>
      </c>
      <c r="U9" s="3" t="s">
        <v>37</v>
      </c>
      <c r="V9" s="3">
        <v>4834</v>
      </c>
      <c r="W9" s="3" t="s">
        <v>38</v>
      </c>
      <c r="X9" s="3" t="b">
        <v>0</v>
      </c>
    </row>
    <row r="10" spans="1:24" x14ac:dyDescent="0.2">
      <c r="A10" s="1" t="s">
        <v>56</v>
      </c>
      <c r="B10" s="2">
        <v>44090</v>
      </c>
      <c r="C10" s="2">
        <v>44469</v>
      </c>
      <c r="D10" s="1" t="s">
        <v>25</v>
      </c>
      <c r="E10" s="1" t="s">
        <v>54</v>
      </c>
      <c r="F10" s="3">
        <v>267506.08</v>
      </c>
      <c r="G10" s="3">
        <v>145514</v>
      </c>
      <c r="H10" s="3">
        <v>184749</v>
      </c>
      <c r="I10" s="3" t="s">
        <v>27</v>
      </c>
      <c r="J10" s="3">
        <v>1272</v>
      </c>
      <c r="K10" s="3" t="s">
        <v>55</v>
      </c>
      <c r="L10" s="3">
        <v>13375</v>
      </c>
      <c r="M10" s="3">
        <v>1681</v>
      </c>
      <c r="N10" s="3">
        <v>11694</v>
      </c>
      <c r="O10" s="3">
        <v>12730</v>
      </c>
      <c r="P10" s="3" t="s">
        <v>40</v>
      </c>
      <c r="Q10" s="3">
        <v>5350</v>
      </c>
      <c r="R10" s="3">
        <v>5330</v>
      </c>
      <c r="S10" s="3">
        <v>20</v>
      </c>
      <c r="T10" s="3">
        <v>0</v>
      </c>
      <c r="U10" s="3" t="s">
        <v>37</v>
      </c>
      <c r="V10" s="3">
        <v>8150</v>
      </c>
      <c r="W10" s="3" t="s">
        <v>38</v>
      </c>
      <c r="X10" s="3" t="b">
        <v>0</v>
      </c>
    </row>
    <row r="11" spans="1:24" x14ac:dyDescent="0.2">
      <c r="A11" s="1" t="s">
        <v>57</v>
      </c>
      <c r="B11" s="2">
        <v>44090</v>
      </c>
      <c r="C11" s="2">
        <v>44469</v>
      </c>
      <c r="D11" s="1" t="s">
        <v>25</v>
      </c>
      <c r="E11" s="1" t="s">
        <v>35</v>
      </c>
      <c r="F11" s="3">
        <v>134399.81</v>
      </c>
      <c r="G11" s="3">
        <v>118689</v>
      </c>
      <c r="H11" s="3">
        <v>102675</v>
      </c>
      <c r="I11" s="3" t="s">
        <v>27</v>
      </c>
      <c r="J11" s="3">
        <v>0</v>
      </c>
      <c r="K11" s="3" t="s">
        <v>55</v>
      </c>
      <c r="L11" s="3">
        <v>6719</v>
      </c>
      <c r="M11" s="3">
        <v>5383</v>
      </c>
      <c r="N11" s="3">
        <v>1336</v>
      </c>
      <c r="O11" s="3">
        <v>7221</v>
      </c>
      <c r="P11" s="3" t="s">
        <v>40</v>
      </c>
      <c r="Q11" s="3">
        <v>2687</v>
      </c>
      <c r="R11" s="3">
        <v>2670</v>
      </c>
      <c r="S11" s="3">
        <v>17</v>
      </c>
      <c r="T11" s="3">
        <v>0</v>
      </c>
      <c r="U11" s="3" t="s">
        <v>37</v>
      </c>
      <c r="V11" s="3">
        <v>4534</v>
      </c>
      <c r="W11" s="3" t="s">
        <v>38</v>
      </c>
      <c r="X11" s="3" t="b">
        <v>0</v>
      </c>
    </row>
    <row r="12" spans="1:24" x14ac:dyDescent="0.2">
      <c r="A12" s="1" t="s">
        <v>58</v>
      </c>
      <c r="B12" s="2">
        <v>44083</v>
      </c>
      <c r="C12" s="2">
        <v>44469</v>
      </c>
      <c r="D12" s="1" t="s">
        <v>25</v>
      </c>
      <c r="E12" s="1" t="s">
        <v>35</v>
      </c>
      <c r="F12" s="3">
        <v>123146.64</v>
      </c>
      <c r="G12" s="3">
        <v>108129</v>
      </c>
      <c r="H12" s="3">
        <v>98949</v>
      </c>
      <c r="I12" s="3" t="s">
        <v>27</v>
      </c>
      <c r="J12" s="3">
        <v>0</v>
      </c>
      <c r="K12" s="3" t="s">
        <v>55</v>
      </c>
      <c r="L12" s="3">
        <v>6157</v>
      </c>
      <c r="M12" s="3">
        <v>5188</v>
      </c>
      <c r="N12" s="3">
        <v>969</v>
      </c>
      <c r="O12" s="3">
        <v>7020</v>
      </c>
      <c r="P12" s="3" t="s">
        <v>40</v>
      </c>
      <c r="Q12" s="3">
        <v>2462</v>
      </c>
      <c r="R12" s="3">
        <v>2450</v>
      </c>
      <c r="S12" s="3">
        <v>12</v>
      </c>
      <c r="T12" s="3">
        <v>0</v>
      </c>
      <c r="U12" s="3" t="s">
        <v>37</v>
      </c>
      <c r="V12" s="3">
        <v>4370</v>
      </c>
      <c r="W12" s="3" t="s">
        <v>38</v>
      </c>
      <c r="X12" s="3" t="b">
        <v>0</v>
      </c>
    </row>
    <row r="13" spans="1:24" x14ac:dyDescent="0.2">
      <c r="A13" s="1" t="s">
        <v>59</v>
      </c>
      <c r="B13" s="2">
        <v>44075</v>
      </c>
      <c r="C13" s="2">
        <v>44469</v>
      </c>
      <c r="D13" s="1" t="s">
        <v>25</v>
      </c>
      <c r="E13" s="1" t="s">
        <v>35</v>
      </c>
      <c r="F13" s="3">
        <v>151262.85999999999</v>
      </c>
      <c r="G13" s="3">
        <v>129927</v>
      </c>
      <c r="H13" s="3">
        <v>113495</v>
      </c>
      <c r="I13" s="3" t="s">
        <v>27</v>
      </c>
      <c r="J13" s="3">
        <v>0</v>
      </c>
      <c r="K13" s="3" t="s">
        <v>55</v>
      </c>
      <c r="L13" s="3">
        <v>7563</v>
      </c>
      <c r="M13" s="3">
        <v>5950</v>
      </c>
      <c r="N13" s="3">
        <v>1613</v>
      </c>
      <c r="O13" s="3">
        <v>7952</v>
      </c>
      <c r="P13" s="3" t="s">
        <v>40</v>
      </c>
      <c r="Q13" s="3">
        <v>3025</v>
      </c>
      <c r="R13" s="3">
        <v>3010</v>
      </c>
      <c r="S13" s="3">
        <v>15</v>
      </c>
      <c r="T13" s="3">
        <v>0</v>
      </c>
      <c r="U13" s="3" t="s">
        <v>37</v>
      </c>
      <c r="V13" s="3">
        <v>5012</v>
      </c>
      <c r="W13" s="3" t="s">
        <v>38</v>
      </c>
      <c r="X13" s="3" t="b">
        <v>0</v>
      </c>
    </row>
    <row r="14" spans="1:24" x14ac:dyDescent="0.2">
      <c r="A14" s="1" t="s">
        <v>60</v>
      </c>
      <c r="B14" s="2">
        <v>44075</v>
      </c>
      <c r="C14" s="2">
        <v>44469</v>
      </c>
      <c r="D14" s="1" t="s">
        <v>25</v>
      </c>
      <c r="E14" s="1" t="s">
        <v>35</v>
      </c>
      <c r="F14" s="3">
        <v>164098.82</v>
      </c>
      <c r="G14" s="3">
        <v>148489</v>
      </c>
      <c r="H14" s="3">
        <v>117466</v>
      </c>
      <c r="I14" s="3" t="s">
        <v>27</v>
      </c>
      <c r="J14" s="3">
        <v>609</v>
      </c>
      <c r="K14" s="3" t="s">
        <v>55</v>
      </c>
      <c r="L14" s="3">
        <v>8204</v>
      </c>
      <c r="M14" s="3">
        <v>2323</v>
      </c>
      <c r="N14" s="3">
        <v>5881</v>
      </c>
      <c r="O14" s="3">
        <v>8153</v>
      </c>
      <c r="P14" s="3" t="s">
        <v>40</v>
      </c>
      <c r="Q14" s="3">
        <v>3281</v>
      </c>
      <c r="R14" s="3">
        <v>3270</v>
      </c>
      <c r="S14" s="3">
        <v>11</v>
      </c>
      <c r="T14" s="3">
        <v>0</v>
      </c>
      <c r="U14" s="3" t="s">
        <v>37</v>
      </c>
      <c r="V14" s="3">
        <v>5188</v>
      </c>
      <c r="W14" s="3" t="s">
        <v>38</v>
      </c>
      <c r="X14" s="3" t="b">
        <v>0</v>
      </c>
    </row>
    <row r="15" spans="1:24" x14ac:dyDescent="0.2">
      <c r="A15" s="1" t="s">
        <v>61</v>
      </c>
      <c r="B15" s="2">
        <v>44075</v>
      </c>
      <c r="C15" s="2">
        <v>44469</v>
      </c>
      <c r="D15" s="1" t="s">
        <v>25</v>
      </c>
      <c r="E15" s="1" t="s">
        <v>54</v>
      </c>
      <c r="F15" s="3">
        <v>190347.89</v>
      </c>
      <c r="G15" s="3">
        <v>167782</v>
      </c>
      <c r="H15" s="3">
        <v>138281</v>
      </c>
      <c r="I15" s="3" t="s">
        <v>27</v>
      </c>
      <c r="J15" s="3">
        <v>0</v>
      </c>
      <c r="K15" s="3" t="s">
        <v>55</v>
      </c>
      <c r="L15" s="3">
        <v>9517</v>
      </c>
      <c r="M15" s="3">
        <v>7253</v>
      </c>
      <c r="N15" s="3">
        <v>2264</v>
      </c>
      <c r="O15" s="3">
        <v>9628</v>
      </c>
      <c r="P15" s="3" t="s">
        <v>40</v>
      </c>
      <c r="Q15" s="3">
        <v>3806</v>
      </c>
      <c r="R15" s="3">
        <v>3790</v>
      </c>
      <c r="S15" s="3">
        <v>16</v>
      </c>
      <c r="T15" s="3">
        <v>0</v>
      </c>
      <c r="U15" s="3" t="s">
        <v>37</v>
      </c>
      <c r="V15" s="3">
        <v>6107</v>
      </c>
      <c r="W15" s="3" t="s">
        <v>38</v>
      </c>
      <c r="X15" s="6" t="b">
        <v>1</v>
      </c>
    </row>
    <row r="16" spans="1:24" x14ac:dyDescent="0.2">
      <c r="A16" s="1" t="s">
        <v>62</v>
      </c>
      <c r="B16" s="2">
        <v>44096</v>
      </c>
      <c r="C16" s="2">
        <v>44469</v>
      </c>
      <c r="D16" s="1" t="s">
        <v>25</v>
      </c>
      <c r="E16" s="1" t="s">
        <v>63</v>
      </c>
      <c r="F16" s="3">
        <v>199948.48</v>
      </c>
      <c r="G16" s="3">
        <v>182795</v>
      </c>
      <c r="H16" s="3">
        <v>118014</v>
      </c>
      <c r="I16" s="3" t="s">
        <v>36</v>
      </c>
      <c r="J16" s="3">
        <v>983</v>
      </c>
      <c r="K16" s="3" t="s">
        <v>28</v>
      </c>
      <c r="L16" s="3">
        <v>9997</v>
      </c>
      <c r="M16" s="3">
        <v>0</v>
      </c>
      <c r="N16" s="3">
        <v>9997</v>
      </c>
      <c r="O16" s="3">
        <v>7875</v>
      </c>
      <c r="P16" s="3" t="s">
        <v>29</v>
      </c>
      <c r="Q16" s="3">
        <v>3998</v>
      </c>
      <c r="R16" s="3">
        <v>3787</v>
      </c>
      <c r="S16" s="3">
        <v>211</v>
      </c>
      <c r="T16" s="3">
        <v>0</v>
      </c>
      <c r="U16" s="3" t="s">
        <v>30</v>
      </c>
      <c r="V16" s="3"/>
      <c r="W16" s="3"/>
      <c r="X16" s="3" t="b">
        <v>0</v>
      </c>
    </row>
    <row r="17" spans="1:24" x14ac:dyDescent="0.2">
      <c r="A17" s="1" t="s">
        <v>64</v>
      </c>
      <c r="B17" s="2">
        <v>44109</v>
      </c>
      <c r="C17" s="2">
        <v>44500</v>
      </c>
      <c r="D17" s="1" t="s">
        <v>25</v>
      </c>
      <c r="E17" s="1" t="s">
        <v>54</v>
      </c>
      <c r="F17" s="3">
        <v>171726.6</v>
      </c>
      <c r="G17" s="3">
        <v>155995</v>
      </c>
      <c r="H17" s="3">
        <v>129638</v>
      </c>
      <c r="I17" s="3" t="s">
        <v>27</v>
      </c>
      <c r="J17" s="3">
        <v>1080</v>
      </c>
      <c r="K17" s="3" t="s">
        <v>28</v>
      </c>
      <c r="L17" s="3">
        <v>8586</v>
      </c>
      <c r="M17" s="3">
        <v>0</v>
      </c>
      <c r="N17" s="3">
        <v>8586</v>
      </c>
      <c r="O17" s="3">
        <v>9121</v>
      </c>
      <c r="P17" s="3" t="s">
        <v>40</v>
      </c>
      <c r="Q17" s="3">
        <v>3434</v>
      </c>
      <c r="R17" s="3">
        <v>3413</v>
      </c>
      <c r="S17" s="3">
        <v>21</v>
      </c>
      <c r="T17" s="3">
        <v>0</v>
      </c>
      <c r="U17" s="3" t="s">
        <v>65</v>
      </c>
      <c r="V17" s="3">
        <v>18666</v>
      </c>
      <c r="W17" s="3" t="s">
        <v>38</v>
      </c>
      <c r="X17" s="3" t="b">
        <v>0</v>
      </c>
    </row>
    <row r="18" spans="1:24" x14ac:dyDescent="0.2">
      <c r="A18" s="1" t="s">
        <v>66</v>
      </c>
      <c r="B18" s="2">
        <v>44111</v>
      </c>
      <c r="C18" s="2">
        <v>44500</v>
      </c>
      <c r="D18" s="1" t="s">
        <v>25</v>
      </c>
      <c r="E18" s="1" t="s">
        <v>35</v>
      </c>
      <c r="F18" s="3">
        <v>401855.03</v>
      </c>
      <c r="G18" s="3">
        <v>377203</v>
      </c>
      <c r="H18" s="3">
        <v>305628</v>
      </c>
      <c r="I18" s="3" t="s">
        <v>27</v>
      </c>
      <c r="J18" s="3">
        <v>2546</v>
      </c>
      <c r="K18" s="3" t="s">
        <v>28</v>
      </c>
      <c r="L18" s="3">
        <v>20092</v>
      </c>
      <c r="M18" s="3">
        <v>0</v>
      </c>
      <c r="N18" s="3">
        <v>20092</v>
      </c>
      <c r="O18" s="3">
        <v>25102</v>
      </c>
      <c r="P18" s="3" t="s">
        <v>40</v>
      </c>
      <c r="Q18" s="3">
        <v>8037</v>
      </c>
      <c r="R18" s="3">
        <v>698</v>
      </c>
      <c r="S18" s="3">
        <v>7339</v>
      </c>
      <c r="T18" s="3">
        <v>0</v>
      </c>
      <c r="U18" s="3" t="s">
        <v>37</v>
      </c>
      <c r="V18" s="3">
        <v>13498</v>
      </c>
      <c r="W18" s="3" t="s">
        <v>38</v>
      </c>
      <c r="X18" s="3" t="b">
        <v>0</v>
      </c>
    </row>
    <row r="19" spans="1:24" x14ac:dyDescent="0.2">
      <c r="A19" s="1" t="s">
        <v>67</v>
      </c>
      <c r="B19" s="2">
        <v>44118</v>
      </c>
      <c r="C19" s="2">
        <v>44483</v>
      </c>
      <c r="D19" s="1" t="s">
        <v>25</v>
      </c>
      <c r="E19" s="1" t="s">
        <v>68</v>
      </c>
      <c r="F19" s="3">
        <v>256192.82</v>
      </c>
      <c r="G19" s="3">
        <v>241799</v>
      </c>
      <c r="H19" s="3">
        <v>181936</v>
      </c>
      <c r="I19" s="3" t="s">
        <v>27</v>
      </c>
      <c r="J19" s="3">
        <v>1516</v>
      </c>
      <c r="K19" s="3" t="s">
        <v>28</v>
      </c>
      <c r="L19" s="3">
        <v>12809</v>
      </c>
      <c r="M19" s="3">
        <v>0</v>
      </c>
      <c r="N19" s="3">
        <v>12809</v>
      </c>
      <c r="O19" s="3">
        <v>12649</v>
      </c>
      <c r="P19" s="3" t="s">
        <v>40</v>
      </c>
      <c r="Q19" s="3">
        <v>5123</v>
      </c>
      <c r="R19" s="3">
        <v>5098</v>
      </c>
      <c r="S19" s="3">
        <v>25</v>
      </c>
      <c r="T19" s="3">
        <v>0</v>
      </c>
      <c r="U19" s="3" t="s">
        <v>30</v>
      </c>
      <c r="V19" s="3"/>
      <c r="W19" s="3"/>
      <c r="X19" s="3" t="b">
        <v>0</v>
      </c>
    </row>
    <row r="20" spans="1:24" x14ac:dyDescent="0.2">
      <c r="A20" s="1" t="s">
        <v>69</v>
      </c>
      <c r="B20" s="2">
        <v>44075</v>
      </c>
      <c r="C20" s="2">
        <v>44469</v>
      </c>
      <c r="D20" s="1" t="s">
        <v>25</v>
      </c>
      <c r="E20" s="1" t="s">
        <v>35</v>
      </c>
      <c r="F20" s="3">
        <v>134070</v>
      </c>
      <c r="G20" s="3">
        <v>134070</v>
      </c>
      <c r="H20" s="3">
        <v>94902</v>
      </c>
      <c r="I20" s="3" t="s">
        <v>70</v>
      </c>
      <c r="J20" s="3">
        <v>790</v>
      </c>
      <c r="K20" s="3" t="s">
        <v>28</v>
      </c>
      <c r="L20" s="3">
        <v>6703</v>
      </c>
      <c r="M20" s="3">
        <v>0</v>
      </c>
      <c r="N20" s="3">
        <v>6703</v>
      </c>
      <c r="O20" s="3">
        <v>0</v>
      </c>
      <c r="P20" s="3" t="s">
        <v>71</v>
      </c>
      <c r="Q20" s="3">
        <v>2681</v>
      </c>
      <c r="R20" s="3">
        <v>0</v>
      </c>
      <c r="S20" s="3">
        <v>2681</v>
      </c>
      <c r="T20" s="3">
        <v>0</v>
      </c>
      <c r="U20" s="3" t="s">
        <v>37</v>
      </c>
      <c r="V20" s="3">
        <v>0</v>
      </c>
      <c r="W20" s="3" t="s">
        <v>38</v>
      </c>
      <c r="X20" s="3" t="b">
        <v>0</v>
      </c>
    </row>
    <row r="21" spans="1:24" x14ac:dyDescent="0.2">
      <c r="A21" s="1" t="s">
        <v>72</v>
      </c>
      <c r="B21" s="2">
        <v>44130</v>
      </c>
      <c r="C21" s="2">
        <v>44500</v>
      </c>
      <c r="D21" s="1" t="s">
        <v>25</v>
      </c>
      <c r="E21" s="1" t="s">
        <v>35</v>
      </c>
      <c r="F21" s="3">
        <v>170065.37</v>
      </c>
      <c r="G21" s="3">
        <v>154670</v>
      </c>
      <c r="H21" s="3">
        <v>126466</v>
      </c>
      <c r="I21" s="3" t="s">
        <v>27</v>
      </c>
      <c r="J21" s="3">
        <v>1053</v>
      </c>
      <c r="K21" s="3" t="s">
        <v>28</v>
      </c>
      <c r="L21" s="3">
        <v>8503</v>
      </c>
      <c r="M21" s="3">
        <v>0</v>
      </c>
      <c r="N21" s="3">
        <v>8503</v>
      </c>
      <c r="O21" s="3">
        <v>8873</v>
      </c>
      <c r="P21" s="3" t="s">
        <v>40</v>
      </c>
      <c r="Q21" s="3">
        <v>3401</v>
      </c>
      <c r="R21" s="3">
        <v>3379</v>
      </c>
      <c r="S21" s="3">
        <v>22</v>
      </c>
      <c r="T21" s="3">
        <v>0</v>
      </c>
      <c r="U21" s="3" t="s">
        <v>65</v>
      </c>
      <c r="V21" s="3">
        <v>18210</v>
      </c>
      <c r="W21" s="3" t="s">
        <v>38</v>
      </c>
      <c r="X21" s="3" t="b">
        <v>0</v>
      </c>
    </row>
    <row r="22" spans="1:24" x14ac:dyDescent="0.2">
      <c r="A22" s="1" t="s">
        <v>73</v>
      </c>
      <c r="B22" s="2">
        <v>44130</v>
      </c>
      <c r="C22" s="2">
        <v>44500</v>
      </c>
      <c r="D22" s="1" t="s">
        <v>25</v>
      </c>
      <c r="E22" s="1" t="s">
        <v>54</v>
      </c>
      <c r="F22" s="3">
        <v>292572.98</v>
      </c>
      <c r="G22" s="3">
        <v>268407</v>
      </c>
      <c r="H22" s="3">
        <v>221330</v>
      </c>
      <c r="I22" s="3" t="s">
        <v>27</v>
      </c>
      <c r="J22" s="3">
        <v>1844</v>
      </c>
      <c r="K22" s="3" t="s">
        <v>28</v>
      </c>
      <c r="L22" s="3">
        <v>14628</v>
      </c>
      <c r="M22" s="3">
        <v>0</v>
      </c>
      <c r="N22" s="3">
        <v>14628</v>
      </c>
      <c r="O22" s="3">
        <v>15575</v>
      </c>
      <c r="P22" s="3" t="s">
        <v>40</v>
      </c>
      <c r="Q22" s="3">
        <v>5851</v>
      </c>
      <c r="R22" s="3">
        <v>5822</v>
      </c>
      <c r="S22" s="3">
        <v>29</v>
      </c>
      <c r="T22" s="3">
        <v>0</v>
      </c>
      <c r="U22" s="3" t="s">
        <v>37</v>
      </c>
      <c r="V22" s="3">
        <v>9775</v>
      </c>
      <c r="W22" s="3" t="s">
        <v>38</v>
      </c>
      <c r="X22" s="3" t="b">
        <v>0</v>
      </c>
    </row>
    <row r="23" spans="1:24" x14ac:dyDescent="0.2">
      <c r="A23" s="1" t="s">
        <v>74</v>
      </c>
      <c r="B23" s="2">
        <v>44126</v>
      </c>
      <c r="C23" s="2">
        <v>44500</v>
      </c>
      <c r="D23" s="1" t="s">
        <v>25</v>
      </c>
      <c r="E23" s="1" t="s">
        <v>54</v>
      </c>
      <c r="F23" s="3">
        <v>203599.95</v>
      </c>
      <c r="G23" s="3">
        <v>188263</v>
      </c>
      <c r="H23" s="3">
        <v>142281</v>
      </c>
      <c r="I23" s="3" t="s">
        <v>27</v>
      </c>
      <c r="J23" s="3">
        <v>1185</v>
      </c>
      <c r="K23" s="3" t="s">
        <v>28</v>
      </c>
      <c r="L23" s="3">
        <v>10179</v>
      </c>
      <c r="M23" s="3">
        <v>0</v>
      </c>
      <c r="N23" s="3">
        <v>10179</v>
      </c>
      <c r="O23" s="3">
        <v>9861</v>
      </c>
      <c r="P23" s="3" t="s">
        <v>40</v>
      </c>
      <c r="Q23" s="3">
        <v>4071</v>
      </c>
      <c r="R23" s="3">
        <v>4049</v>
      </c>
      <c r="S23" s="3">
        <v>22</v>
      </c>
      <c r="T23" s="3">
        <v>0</v>
      </c>
      <c r="U23" s="3" t="s">
        <v>37</v>
      </c>
      <c r="V23" s="3">
        <v>6284</v>
      </c>
      <c r="W23" s="3" t="s">
        <v>38</v>
      </c>
      <c r="X23" s="3" t="b">
        <v>0</v>
      </c>
    </row>
    <row r="24" spans="1:24" x14ac:dyDescent="0.2">
      <c r="A24" s="1" t="s">
        <v>75</v>
      </c>
      <c r="B24" s="2">
        <v>44123</v>
      </c>
      <c r="C24" s="2">
        <v>44500</v>
      </c>
      <c r="D24" s="1" t="s">
        <v>25</v>
      </c>
      <c r="E24" s="1" t="s">
        <v>35</v>
      </c>
      <c r="F24" s="3">
        <v>154802.46</v>
      </c>
      <c r="G24" s="3">
        <v>140433</v>
      </c>
      <c r="H24" s="3">
        <v>118864</v>
      </c>
      <c r="I24" s="3" t="s">
        <v>27</v>
      </c>
      <c r="J24" s="3">
        <v>990</v>
      </c>
      <c r="K24" s="3" t="s">
        <v>28</v>
      </c>
      <c r="L24" s="3">
        <v>7740</v>
      </c>
      <c r="M24" s="3">
        <v>0</v>
      </c>
      <c r="N24" s="3">
        <v>7740</v>
      </c>
      <c r="O24" s="3">
        <v>8390</v>
      </c>
      <c r="P24" s="3" t="s">
        <v>40</v>
      </c>
      <c r="Q24" s="3">
        <v>3096</v>
      </c>
      <c r="R24" s="3">
        <v>3074</v>
      </c>
      <c r="S24" s="3">
        <v>22</v>
      </c>
      <c r="T24" s="3">
        <v>0</v>
      </c>
      <c r="U24" s="3" t="s">
        <v>65</v>
      </c>
      <c r="V24" s="3">
        <v>17116</v>
      </c>
      <c r="W24" s="3" t="s">
        <v>38</v>
      </c>
      <c r="X24" s="3" t="b">
        <v>0</v>
      </c>
    </row>
    <row r="25" spans="1:24" x14ac:dyDescent="0.2">
      <c r="A25" s="1" t="s">
        <v>76</v>
      </c>
      <c r="B25" s="2">
        <v>44130</v>
      </c>
      <c r="C25" s="2">
        <v>44500</v>
      </c>
      <c r="D25" s="1" t="s">
        <v>25</v>
      </c>
      <c r="E25" s="1" t="s">
        <v>35</v>
      </c>
      <c r="F25" s="3">
        <v>205848.4</v>
      </c>
      <c r="G25" s="3">
        <v>153115</v>
      </c>
      <c r="H25" s="3">
        <v>142507</v>
      </c>
      <c r="I25" s="3" t="s">
        <v>27</v>
      </c>
      <c r="J25" s="3">
        <v>1252</v>
      </c>
      <c r="K25" s="3" t="s">
        <v>28</v>
      </c>
      <c r="L25" s="3">
        <v>10292</v>
      </c>
      <c r="M25" s="3">
        <v>0</v>
      </c>
      <c r="N25" s="3">
        <v>10292</v>
      </c>
      <c r="O25" s="3">
        <v>10508</v>
      </c>
      <c r="P25" s="3" t="s">
        <v>40</v>
      </c>
      <c r="Q25" s="3">
        <v>4116</v>
      </c>
      <c r="R25" s="3">
        <v>4093</v>
      </c>
      <c r="S25" s="3">
        <v>23</v>
      </c>
      <c r="T25" s="3">
        <v>0</v>
      </c>
      <c r="U25" s="3" t="s">
        <v>37</v>
      </c>
      <c r="V25" s="3">
        <v>21668</v>
      </c>
      <c r="W25" s="3" t="s">
        <v>38</v>
      </c>
      <c r="X25" s="3" t="b">
        <v>0</v>
      </c>
    </row>
    <row r="26" spans="1:24" x14ac:dyDescent="0.2">
      <c r="A26" s="1" t="s">
        <v>77</v>
      </c>
      <c r="B26" s="2">
        <v>44126</v>
      </c>
      <c r="C26" s="2">
        <v>44500</v>
      </c>
      <c r="D26" s="1" t="s">
        <v>25</v>
      </c>
      <c r="E26" s="1" t="s">
        <v>54</v>
      </c>
      <c r="F26" s="3">
        <v>143538.57999999999</v>
      </c>
      <c r="G26" s="3">
        <v>143539</v>
      </c>
      <c r="H26" s="3">
        <v>97572</v>
      </c>
      <c r="I26" s="3" t="s">
        <v>27</v>
      </c>
      <c r="J26" s="3">
        <v>813</v>
      </c>
      <c r="K26" s="3" t="s">
        <v>28</v>
      </c>
      <c r="L26" s="3">
        <v>7176</v>
      </c>
      <c r="M26" s="3">
        <v>0</v>
      </c>
      <c r="N26" s="3">
        <v>7176</v>
      </c>
      <c r="O26" s="3">
        <v>0</v>
      </c>
      <c r="P26" s="3" t="s">
        <v>52</v>
      </c>
      <c r="Q26" s="3">
        <v>2870</v>
      </c>
      <c r="R26" s="3">
        <v>0</v>
      </c>
      <c r="S26" s="3">
        <v>2870</v>
      </c>
      <c r="T26" s="3">
        <v>0</v>
      </c>
      <c r="U26" s="3" t="s">
        <v>37</v>
      </c>
      <c r="V26" s="3">
        <v>0</v>
      </c>
      <c r="W26" s="3" t="s">
        <v>38</v>
      </c>
      <c r="X26" s="7" t="b">
        <v>1</v>
      </c>
    </row>
    <row r="27" spans="1:24" x14ac:dyDescent="0.2">
      <c r="A27" s="1" t="s">
        <v>78</v>
      </c>
      <c r="B27" s="2">
        <v>44145</v>
      </c>
      <c r="C27" s="2">
        <v>44530</v>
      </c>
      <c r="D27" s="1" t="s">
        <v>25</v>
      </c>
      <c r="E27" s="1" t="s">
        <v>35</v>
      </c>
      <c r="F27" s="3">
        <v>66162.94</v>
      </c>
      <c r="G27" s="3">
        <v>66163</v>
      </c>
      <c r="H27" s="3">
        <v>44616</v>
      </c>
      <c r="I27" s="3" t="s">
        <v>27</v>
      </c>
      <c r="J27" s="3">
        <v>891</v>
      </c>
      <c r="K27" s="3" t="s">
        <v>55</v>
      </c>
      <c r="L27" s="3">
        <v>3308</v>
      </c>
      <c r="M27" s="3">
        <v>0</v>
      </c>
      <c r="N27" s="3">
        <v>3308</v>
      </c>
      <c r="O27" s="3">
        <v>3717</v>
      </c>
      <c r="P27" s="3" t="s">
        <v>29</v>
      </c>
      <c r="Q27" s="3">
        <v>1323</v>
      </c>
      <c r="R27" s="3">
        <v>0</v>
      </c>
      <c r="S27" s="3">
        <v>1323</v>
      </c>
      <c r="T27" s="3">
        <v>3717</v>
      </c>
      <c r="U27" s="3" t="s">
        <v>65</v>
      </c>
      <c r="V27" s="3">
        <v>6423</v>
      </c>
      <c r="W27" s="3" t="s">
        <v>38</v>
      </c>
      <c r="X27" s="3" t="b">
        <v>0</v>
      </c>
    </row>
    <row r="28" spans="1:24" x14ac:dyDescent="0.2">
      <c r="A28" s="1" t="s">
        <v>79</v>
      </c>
      <c r="B28" s="2">
        <v>44040</v>
      </c>
      <c r="C28" s="2">
        <v>44408</v>
      </c>
      <c r="D28" s="1" t="s">
        <v>25</v>
      </c>
      <c r="E28" s="1" t="s">
        <v>35</v>
      </c>
      <c r="F28" s="3">
        <v>249207.11</v>
      </c>
      <c r="G28" s="3">
        <v>249207</v>
      </c>
      <c r="H28" s="3">
        <v>180084</v>
      </c>
      <c r="I28" s="3" t="s">
        <v>27</v>
      </c>
      <c r="J28" s="3">
        <v>1500</v>
      </c>
      <c r="K28" s="3" t="s">
        <v>55</v>
      </c>
      <c r="L28" s="3">
        <v>12460</v>
      </c>
      <c r="M28" s="3">
        <v>0</v>
      </c>
      <c r="N28" s="3">
        <v>12460</v>
      </c>
      <c r="O28" s="3">
        <v>15007</v>
      </c>
      <c r="P28" s="3" t="s">
        <v>40</v>
      </c>
      <c r="Q28" s="3">
        <v>4984</v>
      </c>
      <c r="R28" s="3">
        <v>0</v>
      </c>
      <c r="S28" s="3">
        <v>4984</v>
      </c>
      <c r="T28" s="3">
        <v>15007</v>
      </c>
      <c r="U28" s="3" t="s">
        <v>37</v>
      </c>
      <c r="V28" s="3">
        <v>7953</v>
      </c>
      <c r="W28" s="3" t="s">
        <v>38</v>
      </c>
      <c r="X28" s="7" t="b">
        <v>1</v>
      </c>
    </row>
    <row r="29" spans="1:24" x14ac:dyDescent="0.2">
      <c r="A29" s="1" t="s">
        <v>80</v>
      </c>
      <c r="B29" s="2">
        <v>43910</v>
      </c>
      <c r="C29" s="2">
        <v>44286</v>
      </c>
      <c r="D29" s="1" t="s">
        <v>25</v>
      </c>
      <c r="E29" s="1" t="s">
        <v>35</v>
      </c>
      <c r="F29" s="3">
        <v>126582.83</v>
      </c>
      <c r="G29" s="3">
        <v>119765</v>
      </c>
      <c r="H29" s="3">
        <v>99189</v>
      </c>
      <c r="I29" s="3" t="s">
        <v>27</v>
      </c>
      <c r="J29" s="3">
        <v>826</v>
      </c>
      <c r="K29" s="3" t="s">
        <v>81</v>
      </c>
      <c r="L29" s="3">
        <v>6329</v>
      </c>
      <c r="M29" s="3">
        <v>0</v>
      </c>
      <c r="N29" s="3">
        <v>6329</v>
      </c>
      <c r="O29" s="3">
        <v>24435</v>
      </c>
      <c r="P29" s="3" t="s">
        <v>52</v>
      </c>
      <c r="Q29" s="3">
        <v>2531</v>
      </c>
      <c r="R29" s="3">
        <v>0</v>
      </c>
      <c r="S29" s="3">
        <v>2531</v>
      </c>
      <c r="T29" s="3">
        <v>0</v>
      </c>
      <c r="U29" s="3" t="s">
        <v>37</v>
      </c>
      <c r="V29" s="3">
        <v>13140</v>
      </c>
      <c r="W29" s="3" t="s">
        <v>38</v>
      </c>
      <c r="X29" s="3" t="b">
        <v>0</v>
      </c>
    </row>
    <row r="30" spans="1:24" x14ac:dyDescent="0.2">
      <c r="A30" s="1" t="s">
        <v>82</v>
      </c>
      <c r="B30" s="2">
        <v>43910</v>
      </c>
      <c r="C30" s="2">
        <v>44286</v>
      </c>
      <c r="D30" s="1" t="s">
        <v>25</v>
      </c>
      <c r="E30" s="1" t="s">
        <v>35</v>
      </c>
      <c r="F30" s="3">
        <v>31039.38</v>
      </c>
      <c r="G30" s="3">
        <v>28037</v>
      </c>
      <c r="H30" s="3">
        <v>26652</v>
      </c>
      <c r="I30" s="3" t="s">
        <v>27</v>
      </c>
      <c r="J30" s="3">
        <v>222</v>
      </c>
      <c r="K30" s="3" t="s">
        <v>81</v>
      </c>
      <c r="L30" s="3">
        <v>1551</v>
      </c>
      <c r="M30" s="3">
        <v>0</v>
      </c>
      <c r="N30" s="3">
        <v>1551</v>
      </c>
      <c r="O30" s="3">
        <v>2221</v>
      </c>
      <c r="P30" s="3" t="s">
        <v>71</v>
      </c>
      <c r="Q30" s="3">
        <v>620</v>
      </c>
      <c r="R30" s="3">
        <v>0</v>
      </c>
      <c r="S30" s="3">
        <v>620</v>
      </c>
      <c r="T30" s="3">
        <v>0</v>
      </c>
      <c r="U30" s="3" t="s">
        <v>37</v>
      </c>
      <c r="V30" s="3">
        <v>1178</v>
      </c>
      <c r="W30" s="3" t="s">
        <v>38</v>
      </c>
      <c r="X30" s="3" t="b">
        <v>0</v>
      </c>
    </row>
    <row r="31" spans="1:24" x14ac:dyDescent="0.2">
      <c r="A31" s="1" t="s">
        <v>83</v>
      </c>
      <c r="B31" s="2">
        <v>44154</v>
      </c>
      <c r="C31" s="2">
        <v>44530</v>
      </c>
      <c r="D31" s="1" t="s">
        <v>25</v>
      </c>
      <c r="E31" s="1" t="s">
        <v>35</v>
      </c>
      <c r="F31" s="3">
        <v>651246.19999999995</v>
      </c>
      <c r="G31" s="3">
        <v>592568</v>
      </c>
      <c r="H31" s="3">
        <v>491061</v>
      </c>
      <c r="I31" s="3" t="s">
        <v>27</v>
      </c>
      <c r="J31" s="3">
        <v>9819</v>
      </c>
      <c r="K31" s="3" t="s">
        <v>28</v>
      </c>
      <c r="L31" s="3">
        <v>32562</v>
      </c>
      <c r="M31" s="3">
        <v>0</v>
      </c>
      <c r="N31" s="3">
        <v>32562</v>
      </c>
      <c r="O31" s="3">
        <v>34527</v>
      </c>
      <c r="P31" s="3" t="s">
        <v>29</v>
      </c>
      <c r="Q31" s="3">
        <v>13024</v>
      </c>
      <c r="R31" s="3">
        <v>12976</v>
      </c>
      <c r="S31" s="3">
        <v>48</v>
      </c>
      <c r="T31" s="3">
        <v>842</v>
      </c>
      <c r="U31" s="3" t="s">
        <v>65</v>
      </c>
      <c r="V31" s="3">
        <v>70712</v>
      </c>
      <c r="W31" s="3" t="s">
        <v>38</v>
      </c>
      <c r="X31" s="3" t="b">
        <v>0</v>
      </c>
    </row>
    <row r="32" spans="1:24" x14ac:dyDescent="0.2">
      <c r="A32" s="1" t="s">
        <v>84</v>
      </c>
      <c r="B32" s="2">
        <v>43910</v>
      </c>
      <c r="C32" s="2">
        <v>44286</v>
      </c>
      <c r="D32" s="1" t="s">
        <v>25</v>
      </c>
      <c r="E32" s="1" t="s">
        <v>54</v>
      </c>
      <c r="F32" s="3">
        <v>121335.63</v>
      </c>
      <c r="G32" s="3">
        <v>121336</v>
      </c>
      <c r="H32" s="3">
        <v>96460</v>
      </c>
      <c r="I32" s="3" t="s">
        <v>27</v>
      </c>
      <c r="J32" s="3"/>
      <c r="K32" s="3"/>
      <c r="L32" s="3">
        <v>6066</v>
      </c>
      <c r="M32" s="3">
        <v>0</v>
      </c>
      <c r="N32" s="3">
        <v>6066</v>
      </c>
      <c r="O32" s="3">
        <v>8038</v>
      </c>
      <c r="P32" s="3" t="s">
        <v>71</v>
      </c>
      <c r="Q32" s="3">
        <v>2426</v>
      </c>
      <c r="R32" s="3">
        <v>0</v>
      </c>
      <c r="S32" s="3">
        <v>2426</v>
      </c>
      <c r="T32" s="3">
        <v>7981</v>
      </c>
      <c r="U32" s="3" t="s">
        <v>37</v>
      </c>
      <c r="V32" s="3">
        <v>4283</v>
      </c>
      <c r="W32" s="3" t="s">
        <v>38</v>
      </c>
      <c r="X32" s="3" t="b">
        <v>0</v>
      </c>
    </row>
    <row r="33" spans="1:24" x14ac:dyDescent="0.2">
      <c r="A33" s="1" t="s">
        <v>85</v>
      </c>
      <c r="B33" s="2">
        <v>44050</v>
      </c>
      <c r="C33" s="2">
        <v>44439</v>
      </c>
      <c r="D33" s="1" t="s">
        <v>25</v>
      </c>
      <c r="E33" s="1" t="s">
        <v>26</v>
      </c>
      <c r="F33" s="3">
        <v>37417.21</v>
      </c>
      <c r="G33" s="3">
        <v>32858</v>
      </c>
      <c r="H33" s="3">
        <v>31712</v>
      </c>
      <c r="I33" s="3" t="s">
        <v>27</v>
      </c>
      <c r="J33" s="3">
        <v>264</v>
      </c>
      <c r="K33" s="3" t="s">
        <v>28</v>
      </c>
      <c r="L33" s="3">
        <v>1870</v>
      </c>
      <c r="M33" s="3">
        <v>0</v>
      </c>
      <c r="N33" s="3">
        <v>1870</v>
      </c>
      <c r="O33" s="3">
        <v>2642</v>
      </c>
      <c r="P33" s="3" t="s">
        <v>33</v>
      </c>
      <c r="Q33" s="3">
        <v>748</v>
      </c>
      <c r="R33" s="3">
        <v>0</v>
      </c>
      <c r="S33" s="3">
        <v>748</v>
      </c>
      <c r="T33" s="3">
        <v>0</v>
      </c>
      <c r="U33" s="3" t="s">
        <v>30</v>
      </c>
      <c r="V33" s="3"/>
      <c r="W33" s="3"/>
      <c r="X33" s="3" t="b">
        <v>0</v>
      </c>
    </row>
    <row r="34" spans="1:24" x14ac:dyDescent="0.2">
      <c r="A34" s="1" t="s">
        <v>86</v>
      </c>
      <c r="B34" s="2">
        <v>44148</v>
      </c>
      <c r="C34" s="2">
        <v>44530</v>
      </c>
      <c r="D34" s="1" t="s">
        <v>25</v>
      </c>
      <c r="E34" s="1" t="s">
        <v>35</v>
      </c>
      <c r="F34" s="3">
        <v>173187.95</v>
      </c>
      <c r="G34" s="3">
        <v>133103</v>
      </c>
      <c r="H34" s="3">
        <v>1</v>
      </c>
      <c r="I34" s="3" t="s">
        <v>27</v>
      </c>
      <c r="J34" s="3">
        <v>1012</v>
      </c>
      <c r="K34" s="3" t="s">
        <v>28</v>
      </c>
      <c r="L34" s="3">
        <v>8659</v>
      </c>
      <c r="M34" s="3">
        <v>0</v>
      </c>
      <c r="N34" s="3">
        <v>8659</v>
      </c>
      <c r="O34" s="3">
        <v>10122</v>
      </c>
      <c r="P34" s="3" t="s">
        <v>52</v>
      </c>
      <c r="Q34" s="3">
        <v>3463</v>
      </c>
      <c r="R34" s="3">
        <v>0</v>
      </c>
      <c r="S34" s="3">
        <v>3463</v>
      </c>
      <c r="T34" s="3">
        <v>10122</v>
      </c>
      <c r="U34" s="3" t="s">
        <v>37</v>
      </c>
      <c r="V34" s="3">
        <v>17490</v>
      </c>
      <c r="W34" s="3" t="s">
        <v>38</v>
      </c>
      <c r="X34" s="3" t="b">
        <v>0</v>
      </c>
    </row>
    <row r="35" spans="1:24" x14ac:dyDescent="0.2">
      <c r="A35" s="1" t="s">
        <v>87</v>
      </c>
      <c r="B35" s="2">
        <v>44148</v>
      </c>
      <c r="C35" s="2">
        <v>44530</v>
      </c>
      <c r="D35" s="1" t="s">
        <v>25</v>
      </c>
      <c r="E35" s="1" t="s">
        <v>54</v>
      </c>
      <c r="F35" s="3">
        <v>222676.03</v>
      </c>
      <c r="G35" s="3">
        <v>171897</v>
      </c>
      <c r="H35" s="3">
        <v>0</v>
      </c>
      <c r="I35" s="3" t="s">
        <v>27</v>
      </c>
      <c r="J35" s="3">
        <v>1282</v>
      </c>
      <c r="K35" s="3" t="s">
        <v>28</v>
      </c>
      <c r="L35" s="3">
        <v>11133</v>
      </c>
      <c r="M35" s="3">
        <v>0</v>
      </c>
      <c r="N35" s="3">
        <v>11133</v>
      </c>
      <c r="O35" s="3">
        <v>12822</v>
      </c>
      <c r="P35" s="3" t="s">
        <v>29</v>
      </c>
      <c r="Q35" s="3">
        <v>4453</v>
      </c>
      <c r="R35" s="3">
        <v>0</v>
      </c>
      <c r="S35" s="3">
        <v>4453</v>
      </c>
      <c r="T35" s="3">
        <v>12822</v>
      </c>
      <c r="U35" s="3" t="s">
        <v>37</v>
      </c>
      <c r="V35" s="3">
        <v>22156</v>
      </c>
      <c r="W35" s="3" t="s">
        <v>38</v>
      </c>
      <c r="X35" s="3" t="b">
        <v>0</v>
      </c>
    </row>
    <row r="36" spans="1:24" x14ac:dyDescent="0.2">
      <c r="F36" s="5">
        <f>SUM(F2:F35)</f>
        <v>8452851.9900000021</v>
      </c>
      <c r="G36" s="5">
        <f>SUM(G2:G35)</f>
        <v>7510723</v>
      </c>
      <c r="H36" s="5">
        <f>SUM(H2:H35)</f>
        <v>5807665</v>
      </c>
      <c r="I36" s="5">
        <f>SUM(I2:I35)</f>
        <v>0</v>
      </c>
      <c r="J36" s="5">
        <f>SUM(J2:J35)</f>
        <v>51270</v>
      </c>
      <c r="K36" s="5">
        <f>SUM(K2:K35)</f>
        <v>0</v>
      </c>
      <c r="L36" s="5">
        <f>SUM(L2:L35)</f>
        <v>422625</v>
      </c>
      <c r="M36" s="5">
        <f>SUM(M2:M35)</f>
        <v>27778</v>
      </c>
      <c r="N36" s="5">
        <f>SUM(N2:N35)</f>
        <v>394847</v>
      </c>
      <c r="O36" s="5">
        <f>SUM(O2:O35)</f>
        <v>434636</v>
      </c>
      <c r="P36" s="5">
        <f>SUM(P2:P35)</f>
        <v>0</v>
      </c>
      <c r="Q36" s="5">
        <f>SUM(Q2:Q35)</f>
        <v>169038</v>
      </c>
      <c r="R36" s="5">
        <f>SUM(R2:R35)</f>
        <v>130199</v>
      </c>
      <c r="S36" s="5">
        <f>SUM(S2:S35)</f>
        <v>38839</v>
      </c>
      <c r="T36" s="5">
        <f>SUM(T2:T35)</f>
        <v>50491</v>
      </c>
      <c r="U36" s="5">
        <f>SUM(U2:U35)</f>
        <v>0</v>
      </c>
      <c r="V36" s="5">
        <f>SUM(V2:V35)</f>
        <v>295851</v>
      </c>
      <c r="W36" s="5">
        <f>SUM(W2:W35)</f>
        <v>0</v>
      </c>
      <c r="X36" s="5">
        <f>SUM(X2:X35)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2"/>
  <sheetViews>
    <sheetView workbookViewId="0">
      <selection activeCell="A2" sqref="A2:XFD2"/>
    </sheetView>
  </sheetViews>
  <sheetFormatPr baseColWidth="10" defaultRowHeight="16" x14ac:dyDescent="0.2"/>
  <sheetData>
    <row r="2" spans="1:34" x14ac:dyDescent="0.2">
      <c r="A2" s="1" t="s">
        <v>41</v>
      </c>
      <c r="B2" s="2">
        <v>43909</v>
      </c>
      <c r="C2" s="2">
        <v>44286</v>
      </c>
      <c r="D2" s="1" t="s">
        <v>25</v>
      </c>
      <c r="E2" s="1" t="s">
        <v>42</v>
      </c>
      <c r="F2" s="3">
        <v>14454675.99</v>
      </c>
      <c r="G2" s="3">
        <v>3301714</v>
      </c>
      <c r="H2" s="3">
        <v>9687159</v>
      </c>
      <c r="I2" s="3" t="s">
        <v>27</v>
      </c>
      <c r="J2" s="3">
        <v>7359</v>
      </c>
      <c r="K2" s="3" t="s">
        <v>43</v>
      </c>
      <c r="L2" s="3">
        <v>77378</v>
      </c>
      <c r="M2" s="3" t="s">
        <v>44</v>
      </c>
      <c r="N2" s="3">
        <v>0</v>
      </c>
      <c r="O2" s="3" t="s">
        <v>45</v>
      </c>
      <c r="P2" s="3">
        <v>722733</v>
      </c>
      <c r="Q2" s="3">
        <v>0</v>
      </c>
      <c r="R2" s="3">
        <v>0</v>
      </c>
      <c r="S2" s="3"/>
      <c r="T2" s="3"/>
      <c r="U2" s="3">
        <v>433640</v>
      </c>
      <c r="V2" s="3">
        <v>0</v>
      </c>
      <c r="W2" s="3">
        <v>0</v>
      </c>
      <c r="X2" s="3">
        <v>20022</v>
      </c>
      <c r="Y2" s="3" t="s">
        <v>40</v>
      </c>
      <c r="Z2" s="3">
        <v>289093</v>
      </c>
      <c r="AA2" s="3">
        <v>0</v>
      </c>
      <c r="AB2" s="3">
        <v>0</v>
      </c>
      <c r="AC2" s="3">
        <v>338292</v>
      </c>
      <c r="AD2" s="3" t="s">
        <v>46</v>
      </c>
      <c r="AE2" s="3"/>
      <c r="AF2" s="3"/>
      <c r="AG2" s="3" t="b">
        <v>0</v>
      </c>
      <c r="AH2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assorted_lived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2021-11-24T09:57:51Z</dcterms:created>
  <dcterms:modified xsi:type="dcterms:W3CDTF">2021-11-24T09:57:51Z</dcterms:modified>
</cp:coreProperties>
</file>