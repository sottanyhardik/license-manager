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PycharmProjects/lmanagement/"/>
    </mc:Choice>
  </mc:AlternateContent>
  <xr:revisionPtr revIDLastSave="0" documentId="8_{8814161A-48D8-8743-9274-B489B67AEF77}" xr6:coauthVersionLast="45" xr6:coauthVersionMax="45" xr10:uidLastSave="{00000000-0000-0000-0000-000000000000}"/>
  <bookViews>
    <workbookView xWindow="380" yWindow="460" windowWidth="28040" windowHeight="16320"/>
  </bookViews>
  <sheets>
    <sheet name="biscuit_conversion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BC13" i="1" l="1"/>
  <c r="AX13" i="1"/>
  <c r="AS13" i="1"/>
  <c r="AN13" i="1"/>
  <c r="AI13" i="1"/>
  <c r="AD13" i="1"/>
  <c r="Y13" i="1"/>
  <c r="T13" i="1"/>
  <c r="O13" i="1"/>
  <c r="J13" i="1"/>
  <c r="E13" i="1"/>
</calcChain>
</file>

<file path=xl/sharedStrings.xml><?xml version="1.0" encoding="utf-8"?>
<sst xmlns="http://purl.oclc.org/ooxml/spreadsheetml/main" count="66" uniqueCount="62">
  <si>
    <t>dfia</t>
  </si>
  <si>
    <t>dfia_dt</t>
  </si>
  <si>
    <t>dfia_exp</t>
  </si>
  <si>
    <t>exporter</t>
  </si>
  <si>
    <t>balance_cif</t>
  </si>
  <si>
    <t>wheat_total</t>
  </si>
  <si>
    <t>wheat_new</t>
  </si>
  <si>
    <t>wheat_old</t>
  </si>
  <si>
    <t>wheat_debited_quantity</t>
  </si>
  <si>
    <t>wheat_bal</t>
  </si>
  <si>
    <t>sugar_total</t>
  </si>
  <si>
    <t>sugar_new</t>
  </si>
  <si>
    <t>sugar_old</t>
  </si>
  <si>
    <t>sugar_debited_quantity</t>
  </si>
  <si>
    <t>sugar_bal</t>
  </si>
  <si>
    <t>palmolein_total</t>
  </si>
  <si>
    <t>palmolein_new</t>
  </si>
  <si>
    <t>palmolein_old</t>
  </si>
  <si>
    <t>palmolein_debited_quantity</t>
  </si>
  <si>
    <t>palmolein_bal</t>
  </si>
  <si>
    <t>leavening_total</t>
  </si>
  <si>
    <t>leavening_new</t>
  </si>
  <si>
    <t>leavening_old</t>
  </si>
  <si>
    <t>leavening_debited_quantity</t>
  </si>
  <si>
    <t>leavening_bal</t>
  </si>
  <si>
    <t>flavour_total</t>
  </si>
  <si>
    <t>flavour_new</t>
  </si>
  <si>
    <t>flavour_old</t>
  </si>
  <si>
    <t>flavour_debited_quantity</t>
  </si>
  <si>
    <t>flavour_bal</t>
  </si>
  <si>
    <t>starch_total</t>
  </si>
  <si>
    <t>starch_new</t>
  </si>
  <si>
    <t>starch_old</t>
  </si>
  <si>
    <t>starch_debited_quantity</t>
  </si>
  <si>
    <t>starch_bal</t>
  </si>
  <si>
    <t>dietary_total</t>
  </si>
  <si>
    <t>dietary_new</t>
  </si>
  <si>
    <t>dietary_old</t>
  </si>
  <si>
    <t>dietary_debited_quantity</t>
  </si>
  <si>
    <t>dietary_bal</t>
  </si>
  <si>
    <t>milk_total</t>
  </si>
  <si>
    <t>milk_new</t>
  </si>
  <si>
    <t>milk_old</t>
  </si>
  <si>
    <t>milk_debited_quantity</t>
  </si>
  <si>
    <t>milk_bal</t>
  </si>
  <si>
    <t>fruit_total</t>
  </si>
  <si>
    <t>fruit_new</t>
  </si>
  <si>
    <t>fruit_old</t>
  </si>
  <si>
    <t>fruit_debited_quantity</t>
  </si>
  <si>
    <t>fruit_bal</t>
  </si>
  <si>
    <t>pp_total</t>
  </si>
  <si>
    <t>pp_new</t>
  </si>
  <si>
    <t>pp_old</t>
  </si>
  <si>
    <t>pp_debited_quantity</t>
  </si>
  <si>
    <t>pp_bal</t>
  </si>
  <si>
    <t xml:space="preserve">PARLE PRODUCTS PVT. </t>
  </si>
  <si>
    <t>RANI INTERNATIONAL</t>
  </si>
  <si>
    <t>RAMA EXPORTS</t>
  </si>
  <si>
    <t>V A GLOBAL BUSINESS</t>
  </si>
  <si>
    <t xml:space="preserve">VIPUL KUMAR TRADING </t>
  </si>
  <si>
    <t xml:space="preserve">KRISH FOOD INDUSTRY </t>
  </si>
  <si>
    <t>R K Bakewell Mars Pv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</si>
</sst>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43" fontId="0" fillId="0" borderId="10" xfId="1" applyFont="1" applyBorder="1"/>
    <xf numFmtId="14" fontId="0" fillId="0" borderId="10" xfId="0" applyNumberFormat="1" applyBorder="1"/>
    <xf numFmtId="43" fontId="16" fillId="0" borderId="10" xfId="1" applyFont="1" applyBorder="1"/>
    <xf numFmtId="43" fontId="1" fillId="0" borderId="10" xfId="1" applyFont="1" applyBorder="1"/>
    <xf numFmtId="0" fontId="16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C13"/>
  <sheetViews>
    <sheetView tabSelected="1" workbookViewId="0">
      <selection sqref="A1:BC1"/>
    </sheetView>
  </sheetViews>
  <sheetFormatPr baseColWidth="10" defaultRowHeight="16" x14ac:dyDescent="0.2"/>
  <cols>
    <col min="1" max="1" width="10.1640625" bestFit="1" customWidth="1"/>
    <col min="2" max="3" width="8.83203125" bestFit="1" customWidth="1"/>
    <col min="4" max="4" width="21.83203125" bestFit="1" customWidth="1"/>
    <col min="5" max="8" width="13" bestFit="1" customWidth="1"/>
    <col min="9" max="9" width="22.83203125" bestFit="1" customWidth="1"/>
    <col min="10" max="10" width="14.5" bestFit="1" customWidth="1"/>
    <col min="11" max="11" width="13" bestFit="1" customWidth="1"/>
    <col min="12" max="12" width="12" bestFit="1" customWidth="1"/>
    <col min="13" max="13" width="13" bestFit="1" customWidth="1"/>
    <col min="14" max="14" width="22.1640625" bestFit="1" customWidth="1"/>
    <col min="15" max="15" width="13" bestFit="1" customWidth="1"/>
    <col min="16" max="16" width="15.5" bestFit="1" customWidth="1"/>
    <col min="17" max="17" width="15.1640625" bestFit="1" customWidth="1"/>
    <col min="18" max="18" width="14.1640625" bestFit="1" customWidth="1"/>
    <col min="19" max="19" width="25.83203125" bestFit="1" customWidth="1"/>
    <col min="20" max="20" width="14.1640625" bestFit="1" customWidth="1"/>
    <col min="21" max="21" width="15.1640625" bestFit="1" customWidth="1"/>
    <col min="22" max="22" width="14.83203125" bestFit="1" customWidth="1"/>
    <col min="23" max="23" width="13.83203125" bestFit="1" customWidth="1"/>
    <col min="24" max="24" width="25.5" bestFit="1" customWidth="1"/>
    <col min="25" max="25" width="13.83203125" bestFit="1" customWidth="1"/>
    <col min="26" max="26" width="13" bestFit="1" customWidth="1"/>
    <col min="27" max="27" width="12.6640625" bestFit="1" customWidth="1"/>
    <col min="28" max="28" width="12" bestFit="1" customWidth="1"/>
    <col min="29" max="29" width="23.33203125" bestFit="1" customWidth="1"/>
    <col min="30" max="30" width="12" bestFit="1" customWidth="1"/>
    <col min="31" max="31" width="12.33203125" bestFit="1" customWidth="1"/>
    <col min="32" max="32" width="12" bestFit="1" customWidth="1"/>
    <col min="33" max="33" width="11" bestFit="1" customWidth="1"/>
    <col min="34" max="34" width="22.6640625" bestFit="1" customWidth="1"/>
    <col min="35" max="35" width="11" bestFit="1" customWidth="1"/>
    <col min="36" max="36" width="13" bestFit="1" customWidth="1"/>
    <col min="37" max="37" width="12.6640625" bestFit="1" customWidth="1"/>
    <col min="38" max="38" width="12" bestFit="1" customWidth="1"/>
    <col min="39" max="39" width="23.33203125" bestFit="1" customWidth="1"/>
    <col min="40" max="43" width="12" bestFit="1" customWidth="1"/>
    <col min="44" max="44" width="21" bestFit="1" customWidth="1"/>
    <col min="45" max="45" width="13" bestFit="1" customWidth="1"/>
    <col min="46" max="46" width="10.83203125" bestFit="1" customWidth="1"/>
    <col min="47" max="48" width="10.5" bestFit="1" customWidth="1"/>
    <col min="49" max="49" width="21" bestFit="1" customWidth="1"/>
    <col min="50" max="50" width="12" bestFit="1" customWidth="1"/>
    <col min="51" max="51" width="13" bestFit="1" customWidth="1"/>
    <col min="52" max="53" width="12" bestFit="1" customWidth="1"/>
    <col min="54" max="54" width="19.5" bestFit="1" customWidth="1"/>
    <col min="55" max="55" width="13" bestFit="1" customWidth="1"/>
  </cols>
  <sheetData>
    <row r="1" spans="1:55" x14ac:dyDescent="0.2">
      <c r="A1" s="6" t="s">
        <v>0</v>
      </c>
      <c r="B1" s="6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</row>
    <row r="2" spans="1:55" x14ac:dyDescent="0.2">
      <c r="A2" s="1">
        <v>310832269</v>
      </c>
      <c r="B2" s="3" t="d">
        <v>2019-10-17</v>
      </c>
      <c r="C2" s="3" t="d">
        <v>2020-10-31</v>
      </c>
      <c r="D2" s="1" t="s">
        <v>55</v>
      </c>
      <c r="E2" s="4">
        <v>0</v>
      </c>
      <c r="F2" s="2">
        <v>4582901.852</v>
      </c>
      <c r="G2" s="2">
        <v>1087345.852</v>
      </c>
      <c r="H2" s="2">
        <v>3495556</v>
      </c>
      <c r="I2" s="2">
        <v>3594556</v>
      </c>
      <c r="J2" s="4">
        <v>988345.85199999996</v>
      </c>
      <c r="K2" s="2">
        <v>1814065.321</v>
      </c>
      <c r="L2" s="2">
        <v>430396.321</v>
      </c>
      <c r="M2" s="2">
        <v>1383669</v>
      </c>
      <c r="N2" s="2">
        <v>1814065</v>
      </c>
      <c r="O2" s="4">
        <v>0.32099999999627399</v>
      </c>
      <c r="P2" s="2">
        <v>1718588.1880000001</v>
      </c>
      <c r="Q2" s="2">
        <v>407755.18800000002</v>
      </c>
      <c r="R2" s="2">
        <v>1310833</v>
      </c>
      <c r="S2" s="2">
        <v>1718588</v>
      </c>
      <c r="T2" s="4">
        <v>0.188000000081956</v>
      </c>
      <c r="U2" s="2">
        <v>38190.847000000002</v>
      </c>
      <c r="V2" s="2">
        <v>9056.8469999999998</v>
      </c>
      <c r="W2" s="2">
        <v>29134</v>
      </c>
      <c r="X2" s="2">
        <v>29130</v>
      </c>
      <c r="Y2" s="4">
        <v>9060.8469999999998</v>
      </c>
      <c r="Z2" s="2">
        <v>152763.386</v>
      </c>
      <c r="AA2" s="2">
        <v>36298.385999999999</v>
      </c>
      <c r="AB2" s="2">
        <v>116465</v>
      </c>
      <c r="AC2" s="2">
        <v>116427</v>
      </c>
      <c r="AD2" s="4">
        <v>36336.385999999999</v>
      </c>
      <c r="AE2" s="2">
        <v>47738.563000000002</v>
      </c>
      <c r="AF2" s="2">
        <v>11320.563</v>
      </c>
      <c r="AG2" s="2">
        <v>36418</v>
      </c>
      <c r="AH2" s="2">
        <v>36343</v>
      </c>
      <c r="AI2" s="4">
        <v>11395.563</v>
      </c>
      <c r="AJ2" s="2">
        <v>286431.36200000002</v>
      </c>
      <c r="AK2" s="2">
        <v>67174.361999999994</v>
      </c>
      <c r="AL2" s="2">
        <v>219257</v>
      </c>
      <c r="AM2" s="2">
        <v>219256</v>
      </c>
      <c r="AN2" s="4">
        <v>67175.361999999994</v>
      </c>
      <c r="AO2" s="2">
        <v>668339.848</v>
      </c>
      <c r="AP2" s="2">
        <v>158486.848</v>
      </c>
      <c r="AQ2" s="2">
        <v>509853</v>
      </c>
      <c r="AR2" s="2">
        <v>668340</v>
      </c>
      <c r="AS2" s="4">
        <v>-0.15200000000186201</v>
      </c>
      <c r="AT2" s="2">
        <v>85929.409</v>
      </c>
      <c r="AU2" s="2">
        <v>20377.409</v>
      </c>
      <c r="AV2" s="2">
        <v>65552</v>
      </c>
      <c r="AW2" s="2">
        <v>65550</v>
      </c>
      <c r="AX2" s="4">
        <v>20379.409</v>
      </c>
      <c r="AY2" s="2">
        <v>1096720.4040000001</v>
      </c>
      <c r="AZ2" s="2">
        <v>259296.40400000001</v>
      </c>
      <c r="BA2" s="2">
        <v>837424</v>
      </c>
      <c r="BB2" s="2">
        <v>986784</v>
      </c>
      <c r="BC2" s="4">
        <v>109936.40399999999</v>
      </c>
    </row>
    <row r="3" spans="1:55" x14ac:dyDescent="0.2">
      <c r="A3" s="1">
        <v>310832494</v>
      </c>
      <c r="B3" s="3" t="d">
        <v>2019-10-30</v>
      </c>
      <c r="C3" s="3" t="d">
        <v>2020-10-31</v>
      </c>
      <c r="D3" s="1" t="s">
        <v>55</v>
      </c>
      <c r="E3" s="4">
        <v>444358</v>
      </c>
      <c r="F3" s="2">
        <v>2064135.1459999999</v>
      </c>
      <c r="G3" s="2">
        <v>1062394.1459999999</v>
      </c>
      <c r="H3" s="2">
        <v>1001741</v>
      </c>
      <c r="I3" s="2">
        <v>1001741</v>
      </c>
      <c r="J3" s="4">
        <v>1062394.1459999999</v>
      </c>
      <c r="K3" s="2">
        <v>817053.49</v>
      </c>
      <c r="L3" s="2">
        <v>420531.49</v>
      </c>
      <c r="M3" s="2">
        <v>396522</v>
      </c>
      <c r="N3" s="2">
        <v>817053</v>
      </c>
      <c r="O3" s="4">
        <v>0.489999999990686</v>
      </c>
      <c r="P3" s="2">
        <v>774050.68400000001</v>
      </c>
      <c r="Q3" s="2">
        <v>398398.68400000001</v>
      </c>
      <c r="R3" s="2">
        <v>375652</v>
      </c>
      <c r="S3" s="2">
        <v>774050</v>
      </c>
      <c r="T3" s="4">
        <v>0.68400000000838101</v>
      </c>
      <c r="U3" s="2">
        <v>17194.030999999999</v>
      </c>
      <c r="V3" s="2">
        <v>8847.0309999999899</v>
      </c>
      <c r="W3" s="2">
        <v>8347</v>
      </c>
      <c r="X3" s="2">
        <v>8347</v>
      </c>
      <c r="Y3" s="4">
        <v>8847.0309999999899</v>
      </c>
      <c r="Z3" s="2">
        <v>68804.504000000001</v>
      </c>
      <c r="AA3" s="2">
        <v>35413.504000000001</v>
      </c>
      <c r="AB3" s="2">
        <v>33391</v>
      </c>
      <c r="AC3" s="2">
        <v>33390</v>
      </c>
      <c r="AD3" s="4">
        <v>35414.504000000001</v>
      </c>
      <c r="AE3" s="2">
        <v>21501.121999999999</v>
      </c>
      <c r="AF3" s="2">
        <v>11067.121999999999</v>
      </c>
      <c r="AG3" s="2">
        <v>10434</v>
      </c>
      <c r="AH3" s="2">
        <v>10434</v>
      </c>
      <c r="AI3" s="4">
        <v>11067.121999999999</v>
      </c>
      <c r="AJ3" s="2">
        <v>129008.446</v>
      </c>
      <c r="AK3" s="2">
        <v>66400.445999999996</v>
      </c>
      <c r="AL3" s="2">
        <v>62608</v>
      </c>
      <c r="AM3" s="2">
        <v>62608</v>
      </c>
      <c r="AN3" s="4">
        <v>66400.445999999996</v>
      </c>
      <c r="AO3" s="2">
        <v>301019.70699999999</v>
      </c>
      <c r="AP3" s="2">
        <v>154932.70699999999</v>
      </c>
      <c r="AQ3" s="2">
        <v>146087</v>
      </c>
      <c r="AR3" s="2">
        <v>300647</v>
      </c>
      <c r="AS3" s="4">
        <v>372.70699999999403</v>
      </c>
      <c r="AT3" s="2">
        <v>38702.531999999999</v>
      </c>
      <c r="AU3" s="2">
        <v>19920.531999999999</v>
      </c>
      <c r="AV3" s="2">
        <v>18782</v>
      </c>
      <c r="AW3" s="2">
        <v>18780</v>
      </c>
      <c r="AX3" s="4">
        <v>19922.531999999999</v>
      </c>
      <c r="AY3" s="2">
        <v>511418.49599999998</v>
      </c>
      <c r="AZ3" s="2">
        <v>511418.49599999998</v>
      </c>
      <c r="BA3" s="2">
        <v>0</v>
      </c>
      <c r="BB3" s="2">
        <v>511418</v>
      </c>
      <c r="BC3" s="4">
        <v>0.49599999998463301</v>
      </c>
    </row>
    <row r="4" spans="1:55" x14ac:dyDescent="0.2">
      <c r="A4" s="1">
        <v>310832983</v>
      </c>
      <c r="B4" s="3" t="d">
        <v>2019-11-25</v>
      </c>
      <c r="C4" s="3" t="d">
        <v>2020-11-30</v>
      </c>
      <c r="D4" s="1" t="s">
        <v>56</v>
      </c>
      <c r="E4" s="4">
        <v>17654</v>
      </c>
      <c r="F4" s="2">
        <v>556870.57999999996</v>
      </c>
      <c r="G4" s="2">
        <v>79.579999999958005</v>
      </c>
      <c r="H4" s="2">
        <v>556791</v>
      </c>
      <c r="I4" s="2">
        <v>220710</v>
      </c>
      <c r="J4" s="4">
        <v>336160.57999999903</v>
      </c>
      <c r="K4" s="2">
        <v>220427.94</v>
      </c>
      <c r="L4" s="2">
        <v>31.9400000000023</v>
      </c>
      <c r="M4" s="2">
        <v>220396</v>
      </c>
      <c r="N4" s="2">
        <v>220427</v>
      </c>
      <c r="O4" s="4">
        <v>0.94000000000232797</v>
      </c>
      <c r="P4" s="2">
        <v>209006.47</v>
      </c>
      <c r="Q4" s="2">
        <v>210.47000000000099</v>
      </c>
      <c r="R4" s="2">
        <v>208796</v>
      </c>
      <c r="S4" s="2">
        <v>209006</v>
      </c>
      <c r="T4" s="4">
        <v>0.47000000000116399</v>
      </c>
      <c r="U4" s="2">
        <v>4640.58</v>
      </c>
      <c r="V4" s="2">
        <v>1.5799999999999199</v>
      </c>
      <c r="W4" s="2">
        <v>4639</v>
      </c>
      <c r="X4" s="2">
        <v>0</v>
      </c>
      <c r="Y4" s="4">
        <v>4640.58</v>
      </c>
      <c r="Z4" s="2">
        <v>18559.71</v>
      </c>
      <c r="AA4" s="2">
        <v>0.709999999999126</v>
      </c>
      <c r="AB4" s="2">
        <v>18559</v>
      </c>
      <c r="AC4" s="2">
        <v>18556</v>
      </c>
      <c r="AD4" s="4">
        <v>3.7099999999991198</v>
      </c>
      <c r="AE4" s="2">
        <v>5800.7349999999997</v>
      </c>
      <c r="AF4" s="2">
        <v>1.7349999999996699</v>
      </c>
      <c r="AG4" s="2">
        <v>5799</v>
      </c>
      <c r="AH4" s="2">
        <v>5799</v>
      </c>
      <c r="AI4" s="4">
        <v>1.7349999999996699</v>
      </c>
      <c r="AJ4" s="2">
        <v>34799.46</v>
      </c>
      <c r="AK4" s="2">
        <v>0.459999999999126</v>
      </c>
      <c r="AL4" s="2">
        <v>34799</v>
      </c>
      <c r="AM4" s="2">
        <v>34798</v>
      </c>
      <c r="AN4" s="4">
        <v>1.45999999999912</v>
      </c>
      <c r="AO4" s="2">
        <v>81198.740000000005</v>
      </c>
      <c r="AP4" s="2">
        <v>0.74000000000523802</v>
      </c>
      <c r="AQ4" s="2">
        <v>81198</v>
      </c>
      <c r="AR4" s="2">
        <v>81198</v>
      </c>
      <c r="AS4" s="4">
        <v>0.74000000000523802</v>
      </c>
      <c r="AT4" s="2">
        <v>10439.83</v>
      </c>
      <c r="AU4" s="2">
        <v>0.82999999999992702</v>
      </c>
      <c r="AV4" s="2">
        <v>10439</v>
      </c>
      <c r="AW4" s="2">
        <v>10439</v>
      </c>
      <c r="AX4" s="4">
        <v>0.82999999999992702</v>
      </c>
      <c r="AY4" s="2">
        <v>53230.578999999998</v>
      </c>
      <c r="AZ4" s="2"/>
      <c r="BA4" s="5">
        <v>53230.578999999998</v>
      </c>
      <c r="BB4" s="2">
        <v>0</v>
      </c>
      <c r="BC4" s="4">
        <v>53230.578999999998</v>
      </c>
    </row>
    <row r="5" spans="1:55" x14ac:dyDescent="0.2">
      <c r="A5" s="1">
        <v>310832880</v>
      </c>
      <c r="B5" s="3" t="d">
        <v>2019-11-19</v>
      </c>
      <c r="C5" s="3" t="d">
        <v>2020-11-30</v>
      </c>
      <c r="D5" s="1" t="s">
        <v>56</v>
      </c>
      <c r="E5" s="4">
        <v>4</v>
      </c>
      <c r="F5" s="2">
        <v>344119.10399999999</v>
      </c>
      <c r="G5" s="2">
        <v>174.103999999992</v>
      </c>
      <c r="H5" s="2">
        <v>343945</v>
      </c>
      <c r="I5" s="2">
        <v>134302</v>
      </c>
      <c r="J5" s="4">
        <v>209817.10399999999</v>
      </c>
      <c r="K5" s="2">
        <v>136213.81200000001</v>
      </c>
      <c r="L5" s="2">
        <v>68.812000000005298</v>
      </c>
      <c r="M5" s="2">
        <v>136145</v>
      </c>
      <c r="N5" s="2">
        <v>136213</v>
      </c>
      <c r="O5" s="4">
        <v>0.81200000000535499</v>
      </c>
      <c r="P5" s="2">
        <v>129044.664</v>
      </c>
      <c r="Q5" s="2">
        <v>65.664000000004293</v>
      </c>
      <c r="R5" s="2">
        <v>128979</v>
      </c>
      <c r="S5" s="2">
        <v>129044</v>
      </c>
      <c r="T5" s="4">
        <v>0.66400000000430703</v>
      </c>
      <c r="U5" s="2">
        <v>2867.6590000000001</v>
      </c>
      <c r="V5" s="2">
        <v>1.6590000000001</v>
      </c>
      <c r="W5" s="2">
        <v>2866</v>
      </c>
      <c r="X5" s="2">
        <v>2761</v>
      </c>
      <c r="Y5" s="4">
        <v>106.65900000000001</v>
      </c>
      <c r="Z5" s="2">
        <v>11464.82</v>
      </c>
      <c r="AA5" s="2">
        <v>0.81999999999970896</v>
      </c>
      <c r="AB5" s="2">
        <v>11464</v>
      </c>
      <c r="AC5" s="2">
        <v>11464</v>
      </c>
      <c r="AD5" s="4">
        <v>0.81999999999970896</v>
      </c>
      <c r="AE5" s="2">
        <v>3584.57</v>
      </c>
      <c r="AF5" s="2">
        <v>2.5700000000001602</v>
      </c>
      <c r="AG5" s="2">
        <v>3582</v>
      </c>
      <c r="AH5" s="2">
        <v>3582</v>
      </c>
      <c r="AI5" s="4">
        <v>2.5700000000001602</v>
      </c>
      <c r="AJ5" s="2">
        <v>21496.644</v>
      </c>
      <c r="AK5" s="2">
        <v>0.64400000000023205</v>
      </c>
      <c r="AL5" s="2">
        <v>21496</v>
      </c>
      <c r="AM5" s="2">
        <v>21496</v>
      </c>
      <c r="AN5" s="4">
        <v>0.64400000000023205</v>
      </c>
      <c r="AO5" s="2">
        <v>50158.836000000003</v>
      </c>
      <c r="AP5" s="2">
        <v>0.83600000000296804</v>
      </c>
      <c r="AQ5" s="2">
        <v>50158</v>
      </c>
      <c r="AR5" s="2">
        <v>50158</v>
      </c>
      <c r="AS5" s="4">
        <v>0.83600000000296804</v>
      </c>
      <c r="AT5" s="2">
        <v>6448.99</v>
      </c>
      <c r="AU5" s="2">
        <v>0.98999999999978106</v>
      </c>
      <c r="AV5" s="2">
        <v>6448</v>
      </c>
      <c r="AW5" s="2">
        <v>6445</v>
      </c>
      <c r="AX5" s="4">
        <v>3.9899999999997799</v>
      </c>
      <c r="AY5" s="2">
        <v>32099.766</v>
      </c>
      <c r="AZ5" s="2"/>
      <c r="BA5" s="5">
        <v>32099.766</v>
      </c>
      <c r="BB5" s="2">
        <v>0</v>
      </c>
      <c r="BC5" s="4">
        <v>32099.766</v>
      </c>
    </row>
    <row r="6" spans="1:55" x14ac:dyDescent="0.2">
      <c r="A6" s="1">
        <v>310832985</v>
      </c>
      <c r="B6" s="3" t="d">
        <v>2019-11-25</v>
      </c>
      <c r="C6" s="3" t="d">
        <v>2020-11-30</v>
      </c>
      <c r="D6" s="1" t="s">
        <v>56</v>
      </c>
      <c r="E6" s="4">
        <v>4407</v>
      </c>
      <c r="F6" s="2">
        <v>517506.72</v>
      </c>
      <c r="G6" s="2">
        <v>126.719999999972</v>
      </c>
      <c r="H6" s="2">
        <v>517380</v>
      </c>
      <c r="I6" s="2">
        <v>237845</v>
      </c>
      <c r="J6" s="4">
        <v>279661.71999999997</v>
      </c>
      <c r="K6" s="2">
        <v>204846.405</v>
      </c>
      <c r="L6" s="2">
        <v>50.4049999999988</v>
      </c>
      <c r="M6" s="2">
        <v>204796</v>
      </c>
      <c r="N6" s="2">
        <v>204846</v>
      </c>
      <c r="O6" s="4">
        <v>0.40499999999883501</v>
      </c>
      <c r="P6" s="2">
        <v>194065.02</v>
      </c>
      <c r="Q6" s="2">
        <v>48.019999999989501</v>
      </c>
      <c r="R6" s="2">
        <v>194017</v>
      </c>
      <c r="S6" s="2">
        <v>194065</v>
      </c>
      <c r="T6" s="4">
        <v>1.99999999895226E-2</v>
      </c>
      <c r="U6" s="2">
        <v>4312.55</v>
      </c>
      <c r="V6" s="2">
        <v>1.5500000000001799</v>
      </c>
      <c r="W6" s="2">
        <v>4311</v>
      </c>
      <c r="X6" s="2">
        <v>3162</v>
      </c>
      <c r="Y6" s="4">
        <v>1150.55</v>
      </c>
      <c r="Z6" s="2">
        <v>17246.02</v>
      </c>
      <c r="AA6" s="2">
        <v>2.0000000000436498E-2</v>
      </c>
      <c r="AB6" s="2">
        <v>17246</v>
      </c>
      <c r="AC6" s="2">
        <v>17244</v>
      </c>
      <c r="AD6" s="4">
        <v>2.0200000000004299</v>
      </c>
      <c r="AE6" s="2">
        <v>5390.692</v>
      </c>
      <c r="AF6" s="2">
        <v>1.6919999999999999</v>
      </c>
      <c r="AG6" s="2">
        <v>5389</v>
      </c>
      <c r="AH6" s="2">
        <v>5389</v>
      </c>
      <c r="AI6" s="4">
        <v>1.6919999999999999</v>
      </c>
      <c r="AJ6" s="2">
        <v>32336.29</v>
      </c>
      <c r="AK6" s="2">
        <v>0.290000000000873</v>
      </c>
      <c r="AL6" s="2">
        <v>32336</v>
      </c>
      <c r="AM6" s="2">
        <v>32335</v>
      </c>
      <c r="AN6" s="4">
        <v>1.29000000000087</v>
      </c>
      <c r="AO6" s="2">
        <v>75451.356</v>
      </c>
      <c r="AP6" s="2">
        <v>0.355999999999767</v>
      </c>
      <c r="AQ6" s="2">
        <v>75451</v>
      </c>
      <c r="AR6" s="2">
        <v>75451</v>
      </c>
      <c r="AS6" s="4">
        <v>0.355999999999767</v>
      </c>
      <c r="AT6" s="2">
        <v>9700.8799999999992</v>
      </c>
      <c r="AU6" s="2">
        <v>0.87999999999919898</v>
      </c>
      <c r="AV6" s="2">
        <v>9700</v>
      </c>
      <c r="AW6" s="2">
        <v>9698</v>
      </c>
      <c r="AX6" s="4">
        <v>2.8799999999991899</v>
      </c>
      <c r="AY6" s="2">
        <v>72292.214000000007</v>
      </c>
      <c r="AZ6" s="2"/>
      <c r="BA6" s="5">
        <v>72292.214000000007</v>
      </c>
      <c r="BB6" s="2">
        <v>0</v>
      </c>
      <c r="BC6" s="4">
        <v>72292.214000000007</v>
      </c>
    </row>
    <row r="7" spans="1:55" x14ac:dyDescent="0.2">
      <c r="A7" s="1">
        <v>310833197</v>
      </c>
      <c r="B7" s="3" t="d">
        <v>2019-12-04</v>
      </c>
      <c r="C7" s="3" t="d">
        <v>2020-12-31</v>
      </c>
      <c r="D7" s="1" t="s">
        <v>57</v>
      </c>
      <c r="E7" s="4">
        <v>18019</v>
      </c>
      <c r="F7" s="2">
        <v>584840.68000000005</v>
      </c>
      <c r="G7" s="2">
        <v>126.680000000051</v>
      </c>
      <c r="H7" s="2">
        <v>584714</v>
      </c>
      <c r="I7" s="2">
        <v>178584</v>
      </c>
      <c r="J7" s="4">
        <v>406256.68</v>
      </c>
      <c r="K7" s="2">
        <v>231499.43</v>
      </c>
      <c r="L7" s="2">
        <v>50.429999999993001</v>
      </c>
      <c r="M7" s="2">
        <v>231449</v>
      </c>
      <c r="N7" s="2">
        <v>231499</v>
      </c>
      <c r="O7" s="4">
        <v>0.42999999999301503</v>
      </c>
      <c r="P7" s="2">
        <v>219315.25</v>
      </c>
      <c r="Q7" s="2">
        <v>48.25</v>
      </c>
      <c r="R7" s="2">
        <v>219267</v>
      </c>
      <c r="S7" s="2">
        <v>219315</v>
      </c>
      <c r="T7" s="4">
        <v>0.25</v>
      </c>
      <c r="U7" s="2">
        <v>4873.67</v>
      </c>
      <c r="V7" s="2">
        <v>1.6700000000000701</v>
      </c>
      <c r="W7" s="2">
        <v>4872</v>
      </c>
      <c r="X7" s="2">
        <v>0</v>
      </c>
      <c r="Y7" s="4">
        <v>4873.67</v>
      </c>
      <c r="Z7" s="2">
        <v>19490.48</v>
      </c>
      <c r="AA7" s="2">
        <v>0.479999999999563</v>
      </c>
      <c r="AB7" s="2">
        <v>19490</v>
      </c>
      <c r="AC7" s="2">
        <v>19490</v>
      </c>
      <c r="AD7" s="4">
        <v>0.479999999999563</v>
      </c>
      <c r="AE7" s="2">
        <v>6092.08</v>
      </c>
      <c r="AF7" s="2">
        <v>2.0799999999999201</v>
      </c>
      <c r="AG7" s="2">
        <v>6090</v>
      </c>
      <c r="AH7" s="2">
        <v>6090</v>
      </c>
      <c r="AI7" s="4">
        <v>2.0799999999999201</v>
      </c>
      <c r="AJ7" s="2">
        <v>36544.660000000003</v>
      </c>
      <c r="AK7" s="2">
        <v>0.66000000000349202</v>
      </c>
      <c r="AL7" s="2">
        <v>36544</v>
      </c>
      <c r="AM7" s="2">
        <v>36544</v>
      </c>
      <c r="AN7" s="4">
        <v>0.66000000000349202</v>
      </c>
      <c r="AO7" s="2">
        <v>85270.89</v>
      </c>
      <c r="AP7" s="2">
        <v>0.88999999999941704</v>
      </c>
      <c r="AQ7" s="2">
        <v>85270</v>
      </c>
      <c r="AR7" s="2">
        <v>85270</v>
      </c>
      <c r="AS7" s="4">
        <v>0.88999999999941704</v>
      </c>
      <c r="AT7" s="2">
        <v>10963.4</v>
      </c>
      <c r="AU7" s="2">
        <v>0.39999999999963598</v>
      </c>
      <c r="AV7" s="2">
        <v>10963</v>
      </c>
      <c r="AW7" s="2">
        <v>10963</v>
      </c>
      <c r="AX7" s="4">
        <v>0.39999999999963598</v>
      </c>
      <c r="AY7" s="2">
        <v>53206.79</v>
      </c>
      <c r="AZ7" s="2">
        <v>53206.79</v>
      </c>
      <c r="BA7" s="2">
        <v>0</v>
      </c>
      <c r="BB7" s="2">
        <v>0</v>
      </c>
      <c r="BC7" s="4">
        <v>53206.79</v>
      </c>
    </row>
    <row r="8" spans="1:55" x14ac:dyDescent="0.2">
      <c r="A8" s="1">
        <v>310833198</v>
      </c>
      <c r="B8" s="3" t="d">
        <v>2019-12-04</v>
      </c>
      <c r="C8" s="3" t="d">
        <v>2020-12-31</v>
      </c>
      <c r="D8" s="1" t="s">
        <v>57</v>
      </c>
      <c r="E8" s="4">
        <v>13169</v>
      </c>
      <c r="F8" s="2">
        <v>365761.255</v>
      </c>
      <c r="G8" s="2">
        <v>173.255000000004</v>
      </c>
      <c r="H8" s="2">
        <v>365588</v>
      </c>
      <c r="I8" s="2">
        <v>164524</v>
      </c>
      <c r="J8" s="4">
        <v>201237.255</v>
      </c>
      <c r="K8" s="2">
        <v>144780.497</v>
      </c>
      <c r="L8" s="2">
        <v>69.497000000002998</v>
      </c>
      <c r="M8" s="2">
        <v>144711</v>
      </c>
      <c r="N8" s="2">
        <v>144780</v>
      </c>
      <c r="O8" s="4">
        <v>0.49700000000302602</v>
      </c>
      <c r="P8" s="2">
        <v>137160.47</v>
      </c>
      <c r="Q8" s="2">
        <v>65.470000000001093</v>
      </c>
      <c r="R8" s="2">
        <v>137095</v>
      </c>
      <c r="S8" s="2">
        <v>137160</v>
      </c>
      <c r="T8" s="4">
        <v>0.47000000000116399</v>
      </c>
      <c r="U8" s="2">
        <v>3048.01</v>
      </c>
      <c r="V8" s="2">
        <v>2.0100000000002098</v>
      </c>
      <c r="W8" s="2">
        <v>3046</v>
      </c>
      <c r="X8" s="2">
        <v>0</v>
      </c>
      <c r="Y8" s="4">
        <v>3048.01</v>
      </c>
      <c r="Z8" s="2">
        <v>12186.281000000001</v>
      </c>
      <c r="AA8" s="2">
        <v>0.28100000000085801</v>
      </c>
      <c r="AB8" s="2">
        <v>12186</v>
      </c>
      <c r="AC8" s="2">
        <v>12186</v>
      </c>
      <c r="AD8" s="4">
        <v>0.28100000000085801</v>
      </c>
      <c r="AE8" s="2">
        <v>3810.0129999999999</v>
      </c>
      <c r="AF8" s="2">
        <v>2.01299999999992</v>
      </c>
      <c r="AG8" s="2">
        <v>3808</v>
      </c>
      <c r="AH8" s="2">
        <v>3808</v>
      </c>
      <c r="AI8" s="4">
        <v>2.01299999999992</v>
      </c>
      <c r="AJ8" s="2">
        <v>22849.277999999998</v>
      </c>
      <c r="AK8" s="2">
        <v>0.277999999998428</v>
      </c>
      <c r="AL8" s="2">
        <v>22849</v>
      </c>
      <c r="AM8" s="2">
        <v>22848</v>
      </c>
      <c r="AN8" s="4">
        <v>1.27799999999842</v>
      </c>
      <c r="AO8" s="2">
        <v>53314.983</v>
      </c>
      <c r="AP8" s="2">
        <v>0.98300000000017396</v>
      </c>
      <c r="AQ8" s="2">
        <v>53314</v>
      </c>
      <c r="AR8" s="2">
        <v>53314</v>
      </c>
      <c r="AS8" s="4">
        <v>0.98300000000017396</v>
      </c>
      <c r="AT8" s="2">
        <v>6854.7830000000004</v>
      </c>
      <c r="AU8" s="2">
        <v>0.78300000000035597</v>
      </c>
      <c r="AV8" s="2">
        <v>6854</v>
      </c>
      <c r="AW8" s="2">
        <v>6854</v>
      </c>
      <c r="AX8" s="4">
        <v>0.78300000000035597</v>
      </c>
      <c r="AY8" s="2">
        <v>32454.363000000001</v>
      </c>
      <c r="AZ8" s="2">
        <v>32454.363000000001</v>
      </c>
      <c r="BA8" s="2">
        <v>0</v>
      </c>
      <c r="BB8" s="2">
        <v>0</v>
      </c>
      <c r="BC8" s="4">
        <v>32454.363000000001</v>
      </c>
    </row>
    <row r="9" spans="1:55" x14ac:dyDescent="0.2">
      <c r="A9" s="1">
        <v>310834152</v>
      </c>
      <c r="B9" s="3" t="d">
        <v>2020-01-15</v>
      </c>
      <c r="C9" s="3" t="d">
        <v>2021-01-31</v>
      </c>
      <c r="D9" s="1" t="s">
        <v>58</v>
      </c>
      <c r="E9" s="4">
        <v>1</v>
      </c>
      <c r="F9" s="2">
        <v>528036.48</v>
      </c>
      <c r="G9" s="2">
        <v>10080.4799999999</v>
      </c>
      <c r="H9" s="2">
        <v>517956</v>
      </c>
      <c r="I9" s="2">
        <v>200000</v>
      </c>
      <c r="J9" s="4">
        <v>328036.47999999998</v>
      </c>
      <c r="K9" s="2">
        <v>209014.44</v>
      </c>
      <c r="L9" s="2">
        <v>3990.44</v>
      </c>
      <c r="M9" s="2">
        <v>205024</v>
      </c>
      <c r="N9" s="2">
        <v>209014</v>
      </c>
      <c r="O9" s="4">
        <v>0.44000000000232797</v>
      </c>
      <c r="P9" s="2">
        <v>198013.68</v>
      </c>
      <c r="Q9" s="2">
        <v>3780.6799999999898</v>
      </c>
      <c r="R9" s="2">
        <v>194233</v>
      </c>
      <c r="S9" s="2">
        <v>196111</v>
      </c>
      <c r="T9" s="4">
        <v>1902.6799999999901</v>
      </c>
      <c r="U9" s="2">
        <v>4400.3100000000004</v>
      </c>
      <c r="V9" s="2">
        <v>84.3100000000004</v>
      </c>
      <c r="W9" s="2">
        <v>4316</v>
      </c>
      <c r="X9" s="2">
        <v>0</v>
      </c>
      <c r="Y9" s="4">
        <v>4400.3100000000004</v>
      </c>
      <c r="Z9" s="2">
        <v>17601.23</v>
      </c>
      <c r="AA9" s="2">
        <v>336.229999999999</v>
      </c>
      <c r="AB9" s="2">
        <v>17265</v>
      </c>
      <c r="AC9" s="2">
        <v>17263</v>
      </c>
      <c r="AD9" s="4">
        <v>338.229999999999</v>
      </c>
      <c r="AE9" s="2">
        <v>5500.38</v>
      </c>
      <c r="AF9" s="2">
        <v>105.38</v>
      </c>
      <c r="AG9" s="2">
        <v>5395</v>
      </c>
      <c r="AH9" s="2">
        <v>1652</v>
      </c>
      <c r="AI9" s="4">
        <v>3848.38</v>
      </c>
      <c r="AJ9" s="2">
        <v>33002.28</v>
      </c>
      <c r="AK9" s="2">
        <v>630.27999999999804</v>
      </c>
      <c r="AL9" s="2">
        <v>32372</v>
      </c>
      <c r="AM9" s="2">
        <v>32370</v>
      </c>
      <c r="AN9" s="4">
        <v>632.27999999999804</v>
      </c>
      <c r="AO9" s="2">
        <v>77005.320000000007</v>
      </c>
      <c r="AP9" s="2">
        <v>1470.32</v>
      </c>
      <c r="AQ9" s="2">
        <v>75535</v>
      </c>
      <c r="AR9" s="2">
        <v>76896</v>
      </c>
      <c r="AS9" s="4">
        <v>109.320000000006</v>
      </c>
      <c r="AT9" s="2">
        <v>9900.69</v>
      </c>
      <c r="AU9" s="2">
        <v>189.69</v>
      </c>
      <c r="AV9" s="2">
        <v>9711</v>
      </c>
      <c r="AW9" s="2">
        <v>9710</v>
      </c>
      <c r="AX9" s="4">
        <v>190.69</v>
      </c>
      <c r="AY9" s="2">
        <v>53535.71</v>
      </c>
      <c r="AZ9" s="2">
        <v>787.70999999999901</v>
      </c>
      <c r="BA9" s="2">
        <v>52748</v>
      </c>
      <c r="BB9" s="2">
        <v>0</v>
      </c>
      <c r="BC9" s="4">
        <v>53535.71</v>
      </c>
    </row>
    <row r="10" spans="1:55" x14ac:dyDescent="0.2">
      <c r="A10" s="1">
        <v>310834150</v>
      </c>
      <c r="B10" s="3" t="d">
        <v>2020-01-15</v>
      </c>
      <c r="C10" s="3" t="d">
        <v>2021-01-31</v>
      </c>
      <c r="D10" s="1" t="s">
        <v>59</v>
      </c>
      <c r="E10" s="4">
        <v>1</v>
      </c>
      <c r="F10" s="2">
        <v>440862.71999999997</v>
      </c>
      <c r="G10" s="2">
        <v>0</v>
      </c>
      <c r="H10" s="2">
        <v>440862.71999999997</v>
      </c>
      <c r="I10" s="2">
        <v>155352</v>
      </c>
      <c r="J10" s="4">
        <v>285510.71999999997</v>
      </c>
      <c r="K10" s="2">
        <v>174508.16</v>
      </c>
      <c r="L10" s="2">
        <v>0</v>
      </c>
      <c r="M10" s="2">
        <v>174508.16</v>
      </c>
      <c r="N10" s="2">
        <v>174508</v>
      </c>
      <c r="O10" s="4">
        <v>0.16000000000349199</v>
      </c>
      <c r="P10" s="2">
        <v>165323.51999999999</v>
      </c>
      <c r="Q10" s="2">
        <v>0</v>
      </c>
      <c r="R10" s="2">
        <v>165323.51999999999</v>
      </c>
      <c r="S10" s="2">
        <v>154728</v>
      </c>
      <c r="T10" s="4">
        <v>10595.5199999999</v>
      </c>
      <c r="U10" s="2">
        <v>3673.8560000000002</v>
      </c>
      <c r="V10" s="2">
        <v>0</v>
      </c>
      <c r="W10" s="2">
        <v>3673.8560000000002</v>
      </c>
      <c r="X10" s="2">
        <v>0</v>
      </c>
      <c r="Y10" s="4">
        <v>3673.8560000000002</v>
      </c>
      <c r="Z10" s="2">
        <v>14695.424000000001</v>
      </c>
      <c r="AA10" s="2">
        <v>0</v>
      </c>
      <c r="AB10" s="2">
        <v>14695.424000000001</v>
      </c>
      <c r="AC10" s="2">
        <v>14693</v>
      </c>
      <c r="AD10" s="4">
        <v>2.4240000000008801</v>
      </c>
      <c r="AE10" s="2">
        <v>4592.32</v>
      </c>
      <c r="AF10" s="2">
        <v>0</v>
      </c>
      <c r="AG10" s="2">
        <v>4592.32</v>
      </c>
      <c r="AH10" s="2">
        <v>4592</v>
      </c>
      <c r="AI10" s="4">
        <v>0.31999999999970802</v>
      </c>
      <c r="AJ10" s="2">
        <v>27553.919999999998</v>
      </c>
      <c r="AK10" s="2">
        <v>0</v>
      </c>
      <c r="AL10" s="2">
        <v>27553.919999999998</v>
      </c>
      <c r="AM10" s="2">
        <v>27550</v>
      </c>
      <c r="AN10" s="4">
        <v>3.9199999999982502</v>
      </c>
      <c r="AO10" s="2">
        <v>64292.480000000003</v>
      </c>
      <c r="AP10" s="2">
        <v>0</v>
      </c>
      <c r="AQ10" s="2">
        <v>64292.480000000003</v>
      </c>
      <c r="AR10" s="2">
        <v>47000</v>
      </c>
      <c r="AS10" s="4">
        <v>17292.48</v>
      </c>
      <c r="AT10" s="2">
        <v>8266.1759999999995</v>
      </c>
      <c r="AU10" s="2">
        <v>0</v>
      </c>
      <c r="AV10" s="2">
        <v>8266.1759999999995</v>
      </c>
      <c r="AW10" s="2">
        <v>8263</v>
      </c>
      <c r="AX10" s="4">
        <v>3.1759999999994699</v>
      </c>
      <c r="AY10" s="2">
        <v>57364.65</v>
      </c>
      <c r="AZ10" s="2">
        <v>0</v>
      </c>
      <c r="BA10" s="2">
        <v>57364.65</v>
      </c>
      <c r="BB10" s="2">
        <v>0</v>
      </c>
      <c r="BC10" s="4">
        <v>57364.65</v>
      </c>
    </row>
    <row r="11" spans="1:55" x14ac:dyDescent="0.2">
      <c r="A11" s="1">
        <v>310835517</v>
      </c>
      <c r="B11" s="3" t="d">
        <v>2020-03-19</v>
      </c>
      <c r="C11" s="3" t="d">
        <v>2021-03-30</v>
      </c>
      <c r="D11" s="1" t="s">
        <v>60</v>
      </c>
      <c r="E11" s="4">
        <v>4122960</v>
      </c>
      <c r="F11" s="2">
        <v>3877652.64</v>
      </c>
      <c r="G11" s="2">
        <v>1261652.6399999999</v>
      </c>
      <c r="H11" s="2">
        <v>2616000</v>
      </c>
      <c r="I11" s="2">
        <v>785000</v>
      </c>
      <c r="J11" s="4">
        <v>3092652.64</v>
      </c>
      <c r="K11" s="2">
        <v>1534904.17</v>
      </c>
      <c r="L11" s="2">
        <v>0.169999999925494</v>
      </c>
      <c r="M11" s="2">
        <v>1534904</v>
      </c>
      <c r="N11" s="2">
        <v>0</v>
      </c>
      <c r="O11" s="4">
        <v>1534904.17</v>
      </c>
      <c r="P11" s="2">
        <v>1454119.74</v>
      </c>
      <c r="Q11" s="2">
        <v>963619.74</v>
      </c>
      <c r="R11" s="2">
        <v>490500</v>
      </c>
      <c r="S11" s="2">
        <v>0</v>
      </c>
      <c r="T11" s="4">
        <v>1454119.74</v>
      </c>
      <c r="U11" s="2">
        <v>32313.772000000001</v>
      </c>
      <c r="V11" s="2">
        <v>21413.772000000001</v>
      </c>
      <c r="W11" s="2">
        <v>10900</v>
      </c>
      <c r="X11" s="2">
        <v>0</v>
      </c>
      <c r="Y11" s="4">
        <v>32313.772000000001</v>
      </c>
      <c r="Z11" s="2">
        <v>129255.088</v>
      </c>
      <c r="AA11" s="2">
        <v>42055.088000000003</v>
      </c>
      <c r="AB11" s="2">
        <v>87200</v>
      </c>
      <c r="AC11" s="2">
        <v>69749</v>
      </c>
      <c r="AD11" s="4">
        <v>59506.088000000003</v>
      </c>
      <c r="AE11" s="2"/>
      <c r="AF11" s="2"/>
      <c r="AG11" s="2"/>
      <c r="AH11" s="2"/>
      <c r="AI11" s="2"/>
      <c r="AJ11" s="2">
        <v>220240.935</v>
      </c>
      <c r="AK11" s="2">
        <v>119190.935</v>
      </c>
      <c r="AL11" s="2">
        <v>101050</v>
      </c>
      <c r="AM11" s="2">
        <v>86898</v>
      </c>
      <c r="AN11" s="4">
        <v>133342.935</v>
      </c>
      <c r="AO11" s="2">
        <v>565491.01</v>
      </c>
      <c r="AP11" s="2">
        <v>374741.01</v>
      </c>
      <c r="AQ11" s="2">
        <v>190750</v>
      </c>
      <c r="AR11" s="2">
        <v>0</v>
      </c>
      <c r="AS11" s="4">
        <v>565491.01</v>
      </c>
      <c r="AT11" s="2">
        <v>66072.28</v>
      </c>
      <c r="AU11" s="2">
        <v>41547.279999999999</v>
      </c>
      <c r="AV11" s="2">
        <v>24525</v>
      </c>
      <c r="AW11" s="2">
        <v>2050</v>
      </c>
      <c r="AX11" s="4">
        <v>64022.28</v>
      </c>
      <c r="AY11" s="2">
        <v>439879.76</v>
      </c>
      <c r="AZ11" s="2">
        <v>276379.76</v>
      </c>
      <c r="BA11" s="2">
        <v>163500</v>
      </c>
      <c r="BB11" s="2">
        <v>0</v>
      </c>
      <c r="BC11" s="4">
        <v>439879.76</v>
      </c>
    </row>
    <row r="12" spans="1:55" x14ac:dyDescent="0.2">
      <c r="A12" s="1">
        <v>310836589</v>
      </c>
      <c r="B12" s="3" t="d">
        <v>2020-06-09</v>
      </c>
      <c r="C12" s="3" t="d">
        <v>2021-06-30</v>
      </c>
      <c r="D12" s="1" t="s">
        <v>61</v>
      </c>
      <c r="E12" s="4">
        <v>4107564</v>
      </c>
      <c r="F12" s="2">
        <v>4262779.6789999995</v>
      </c>
      <c r="G12" s="2">
        <v>1921344.67899999</v>
      </c>
      <c r="H12" s="2">
        <v>2341435</v>
      </c>
      <c r="I12" s="2">
        <v>881775</v>
      </c>
      <c r="J12" s="4">
        <v>3381004.6789999902</v>
      </c>
      <c r="K12" s="2">
        <v>1687350.29</v>
      </c>
      <c r="L12" s="2">
        <v>0.29000000003725201</v>
      </c>
      <c r="M12" s="2">
        <v>1687350</v>
      </c>
      <c r="N12" s="2">
        <v>0</v>
      </c>
      <c r="O12" s="4">
        <v>1687350.29</v>
      </c>
      <c r="P12" s="2">
        <v>1598542.38</v>
      </c>
      <c r="Q12" s="2">
        <v>720504.37999999896</v>
      </c>
      <c r="R12" s="2">
        <v>878038</v>
      </c>
      <c r="S12" s="2">
        <v>0</v>
      </c>
      <c r="T12" s="4">
        <v>1598542.38</v>
      </c>
      <c r="U12" s="2">
        <v>35523.163999999997</v>
      </c>
      <c r="V12" s="2">
        <v>25767.663999999899</v>
      </c>
      <c r="W12" s="2">
        <v>9755.5</v>
      </c>
      <c r="X12" s="2">
        <v>0</v>
      </c>
      <c r="Y12" s="4">
        <v>35523.163999999997</v>
      </c>
      <c r="Z12" s="2">
        <v>142092.65599999999</v>
      </c>
      <c r="AA12" s="2">
        <v>64045.655999999901</v>
      </c>
      <c r="AB12" s="2">
        <v>78047</v>
      </c>
      <c r="AC12" s="2">
        <v>78043</v>
      </c>
      <c r="AD12" s="4">
        <v>64049.655999999901</v>
      </c>
      <c r="AE12" s="2"/>
      <c r="AF12" s="2"/>
      <c r="AG12" s="2"/>
      <c r="AH12" s="2"/>
      <c r="AI12" s="2"/>
      <c r="AJ12" s="2">
        <v>266423.72899999999</v>
      </c>
      <c r="AK12" s="2">
        <v>193254.72899999999</v>
      </c>
      <c r="AL12" s="2">
        <v>73169</v>
      </c>
      <c r="AM12" s="2">
        <v>65127</v>
      </c>
      <c r="AN12" s="4">
        <v>201296.72899999999</v>
      </c>
      <c r="AO12" s="2">
        <v>621655.37</v>
      </c>
      <c r="AP12" s="2">
        <v>450925.87</v>
      </c>
      <c r="AQ12" s="2">
        <v>170729.5</v>
      </c>
      <c r="AR12" s="2">
        <v>0</v>
      </c>
      <c r="AS12" s="4">
        <v>621655.37</v>
      </c>
      <c r="AT12" s="2">
        <v>79927.118000000002</v>
      </c>
      <c r="AU12" s="2">
        <v>55402.118000000002</v>
      </c>
      <c r="AV12" s="2">
        <v>24525</v>
      </c>
      <c r="AW12" s="2">
        <v>0</v>
      </c>
      <c r="AX12" s="4">
        <v>79927.118000000002</v>
      </c>
      <c r="AY12" s="2">
        <v>621396.27</v>
      </c>
      <c r="AZ12" s="2">
        <v>577495.27</v>
      </c>
      <c r="BA12" s="2">
        <v>43901</v>
      </c>
      <c r="BB12" s="2">
        <v>0</v>
      </c>
      <c r="BC12" s="4">
        <v>621396.27</v>
      </c>
    </row>
    <row r="13" spans="1:55" x14ac:dyDescent="0.2">
      <c r="A13" s="1"/>
      <c r="B13" s="1"/>
      <c r="C13" s="1"/>
      <c r="D13" s="1"/>
      <c r="E13" s="4">
        <f>SUM(E2:E12)</f>
        <v>8728137</v>
      </c>
      <c r="F13" s="2"/>
      <c r="G13" s="2"/>
      <c r="H13" s="2"/>
      <c r="I13" s="2"/>
      <c r="J13" s="4">
        <f>SUM(J2:J12)</f>
        <v>10571077.855999989</v>
      </c>
      <c r="K13" s="2"/>
      <c r="L13" s="2"/>
      <c r="M13" s="2"/>
      <c r="N13" s="2"/>
      <c r="O13" s="4">
        <f>SUM(O2:O12)</f>
        <v>3222258.9550000001</v>
      </c>
      <c r="P13" s="2"/>
      <c r="Q13" s="2"/>
      <c r="R13" s="2"/>
      <c r="S13" s="2"/>
      <c r="T13" s="4">
        <f>SUM(T2:T12)</f>
        <v>3065163.0659999996</v>
      </c>
      <c r="U13" s="2"/>
      <c r="V13" s="2"/>
      <c r="W13" s="2"/>
      <c r="X13" s="2"/>
      <c r="Y13" s="4">
        <f>SUM(Y2:Y12)</f>
        <v>107638.44899999999</v>
      </c>
      <c r="Z13" s="2"/>
      <c r="AA13" s="2"/>
      <c r="AB13" s="2"/>
      <c r="AC13" s="2"/>
      <c r="AD13" s="4">
        <f>SUM(AD2:AD12)</f>
        <v>195654.59899999987</v>
      </c>
      <c r="AE13" s="2"/>
      <c r="AF13" s="2"/>
      <c r="AG13" s="2"/>
      <c r="AH13" s="2"/>
      <c r="AI13" s="4">
        <f>SUM(AI2:AI12)</f>
        <v>26321.474999999995</v>
      </c>
      <c r="AJ13" s="2"/>
      <c r="AK13" s="2"/>
      <c r="AL13" s="2"/>
      <c r="AM13" s="2"/>
      <c r="AN13" s="4">
        <f>SUM(AN2:AN12)</f>
        <v>468857.00399999996</v>
      </c>
      <c r="AO13" s="2"/>
      <c r="AP13" s="2"/>
      <c r="AQ13" s="2"/>
      <c r="AR13" s="2"/>
      <c r="AS13" s="4">
        <f>SUM(AS2:AS12)</f>
        <v>1204924.54</v>
      </c>
      <c r="AT13" s="2"/>
      <c r="AU13" s="2"/>
      <c r="AV13" s="2"/>
      <c r="AW13" s="2"/>
      <c r="AX13" s="4">
        <f>SUM(AX2:AX12)</f>
        <v>184454.08799999999</v>
      </c>
      <c r="AY13" s="2"/>
      <c r="AZ13" s="2"/>
      <c r="BA13" s="2"/>
      <c r="BB13" s="2"/>
      <c r="BC13" s="4">
        <f>SUM(BC2:BC12)</f>
        <v>1525397.0020000001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biscuit_conversion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2020-11-20T18:57:37Z</dcterms:created>
  <dcterms:modified xsi:type="dcterms:W3CDTF">2020-11-20T18:57:37Z</dcterms:modified>
</cp:coreProperties>
</file>