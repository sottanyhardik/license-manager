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 conformance="strict">
  <fileVersion appName="xl" lastEdited="7" lowestEdited="7" rupBuild="11108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/Users/hardiksottany/PycharmProjects/lmanagement/"/>
    </mc:Choice>
  </mc:AlternateContent>
  <xr:revisionPtr revIDLastSave="0" documentId="13_ncr:40009_{A3BAAE5A-C17E-7941-9541-2AFF54FF8682}" xr6:coauthVersionLast="45" xr6:coauthVersionMax="45" xr10:uidLastSave="{00000000-0000-0000-0000-000000000000}"/>
  <bookViews>
    <workbookView xWindow="380" yWindow="460" windowWidth="28040" windowHeight="16420"/>
  </bookViews>
  <sheets>
    <sheet name="confectionery_conversion" sheetId="1" r:id="rId1"/>
  </sheets>
  <calcPr calcId="191029"/>
  <extLst>
    <ext xmlns:x14="http://schemas.microsoft.com/office/spreadsheetml/2009/9/main" uri="{79F54976-1DA5-4618-B147-4CDE4B953A38}">
      <x14:workbookPr/>
    </ext>
  </extLst>
</workbook>
</file>

<file path=xl/calcChain.xml><?xml version="1.0" encoding="utf-8"?>
<calcChain xmlns="http://purl.oclc.org/ooxml/spreadsheetml/main">
  <c r="AI21" i="1" l="1"/>
  <c r="AD21" i="1"/>
  <c r="Y21" i="1"/>
  <c r="T21" i="1"/>
  <c r="O21" i="1"/>
  <c r="J21" i="1"/>
  <c r="AD19" i="1"/>
  <c r="T19" i="1"/>
  <c r="O19" i="1"/>
</calcChain>
</file>

<file path=xl/sharedStrings.xml><?xml version="1.0" encoding="utf-8"?>
<sst xmlns="http://purl.oclc.org/ooxml/spreadsheetml/main" count="103" uniqueCount="47">
  <si>
    <t>dfia</t>
  </si>
  <si>
    <t>dfia_dt</t>
  </si>
  <si>
    <t>dfia_exp</t>
  </si>
  <si>
    <t>exporter</t>
  </si>
  <si>
    <t xml:space="preserve"> balance_cif </t>
  </si>
  <si>
    <t xml:space="preserve"> sugar_total </t>
  </si>
  <si>
    <t xml:space="preserve"> sugar_new </t>
  </si>
  <si>
    <t xml:space="preserve"> sugar_old </t>
  </si>
  <si>
    <t xml:space="preserve"> sugar_debited_quantity </t>
  </si>
  <si>
    <t xml:space="preserve"> sugar_bal </t>
  </si>
  <si>
    <t xml:space="preserve"> juice_total </t>
  </si>
  <si>
    <t xml:space="preserve"> juice_new </t>
  </si>
  <si>
    <t xml:space="preserve"> juice_old </t>
  </si>
  <si>
    <t xml:space="preserve"> juice_debited_quantity </t>
  </si>
  <si>
    <t xml:space="preserve"> juice_bal </t>
  </si>
  <si>
    <t xml:space="preserve"> tartaric_total </t>
  </si>
  <si>
    <t xml:space="preserve"> tartaric_new </t>
  </si>
  <si>
    <t xml:space="preserve"> tartaric_old </t>
  </si>
  <si>
    <t xml:space="preserve"> tartaric_debited_quantity </t>
  </si>
  <si>
    <t xml:space="preserve"> tartaric_bal </t>
  </si>
  <si>
    <t xml:space="preserve"> essential_total </t>
  </si>
  <si>
    <t xml:space="preserve"> essential_new </t>
  </si>
  <si>
    <t xml:space="preserve"> essential_old </t>
  </si>
  <si>
    <t xml:space="preserve"> essential_debited_quantity </t>
  </si>
  <si>
    <t xml:space="preserve"> essential_bal </t>
  </si>
  <si>
    <t xml:space="preserve"> oci_total </t>
  </si>
  <si>
    <t xml:space="preserve"> oci_new </t>
  </si>
  <si>
    <t xml:space="preserve"> oci_old </t>
  </si>
  <si>
    <t xml:space="preserve"> oci_debited_quantity </t>
  </si>
  <si>
    <t xml:space="preserve"> oci_bal </t>
  </si>
  <si>
    <t xml:space="preserve"> pp_total </t>
  </si>
  <si>
    <t xml:space="preserve"> pp_new </t>
  </si>
  <si>
    <t xml:space="preserve"> pp_old </t>
  </si>
  <si>
    <t xml:space="preserve"> pp_debited_quantity </t>
  </si>
  <si>
    <t xml:space="preserve"> pp_bal </t>
  </si>
  <si>
    <t>VIVA FOOD PRODUCTS</t>
  </si>
  <si>
    <t>RANI INTERNATIONAL</t>
  </si>
  <si>
    <t xml:space="preserve"> -   </t>
  </si>
  <si>
    <t>RAMA EXPORTS</t>
  </si>
  <si>
    <t>VANILA FOOD PRODUCTS</t>
  </si>
  <si>
    <t xml:space="preserve">PARLE PRODUCTS PVT. </t>
  </si>
  <si>
    <t>V A GLOBAL BUSINESS</t>
  </si>
  <si>
    <t xml:space="preserve">VIPUL KUMAR TRADING </t>
  </si>
  <si>
    <t>VIHANG FOOD Industri</t>
  </si>
  <si>
    <t xml:space="preserve">KRISH FOOD INDUSTRY </t>
  </si>
  <si>
    <t>NILONS ENTERPRISES P</t>
  </si>
  <si>
    <t>Quantity Doesn’t Match with License for M&amp;M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</si>
</sst>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43" formatCode="_(* #,##0.00_);_(* \(#,##0.00\);_(* &quot;-&quot;??_);_(@_)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2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  <border>
      <start style="thin">
        <color indexed="64"/>
      </start>
      <end style="thin">
        <color indexed="64"/>
      </end>
      <top style="thin">
        <color indexed="64"/>
      </top>
      <bottom style="thin">
        <color indexed="64"/>
      </bottom>
      <diagonal/>
    </border>
    <border>
      <start style="thin">
        <color indexed="64"/>
      </start>
      <end style="thin">
        <color indexed="64"/>
      </end>
      <top/>
      <bottom/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16" fillId="0" borderId="10" xfId="0" applyFont="1" applyBorder="1"/>
    <xf numFmtId="0" fontId="0" fillId="0" borderId="10" xfId="0" applyBorder="1"/>
    <xf numFmtId="14" fontId="0" fillId="0" borderId="10" xfId="0" applyNumberFormat="1" applyBorder="1"/>
    <xf numFmtId="4" fontId="16" fillId="0" borderId="10" xfId="0" applyNumberFormat="1" applyFont="1" applyBorder="1"/>
    <xf numFmtId="4" fontId="0" fillId="0" borderId="10" xfId="0" applyNumberFormat="1" applyBorder="1"/>
    <xf numFmtId="0" fontId="0" fillId="33" borderId="10" xfId="0" applyFill="1" applyBorder="1"/>
    <xf numFmtId="43" fontId="16" fillId="0" borderId="10" xfId="1" applyFont="1" applyBorder="1"/>
    <xf numFmtId="43" fontId="0" fillId="0" borderId="10" xfId="1" applyFont="1" applyBorder="1"/>
    <xf numFmtId="43" fontId="0" fillId="33" borderId="11" xfId="1" applyFont="1" applyFill="1" applyBorder="1"/>
    <xf numFmtId="43" fontId="0" fillId="33" borderId="10" xfId="1" applyFont="1" applyFill="1" applyBorder="1"/>
    <xf numFmtId="43" fontId="0" fillId="0" borderId="0" xfId="1" applyFont="1"/>
    <xf numFmtId="43" fontId="16" fillId="0" borderId="10" xfId="0" applyNumberFormat="1" applyFont="1" applyBorder="1"/>
    <xf numFmtId="0" fontId="0" fillId="33" borderId="0" xfId="0" applyFill="1"/>
    <xf numFmtId="14" fontId="0" fillId="33" borderId="10" xfId="0" applyNumberFormat="1" applyFill="1" applyBorder="1"/>
    <xf numFmtId="4" fontId="16" fillId="33" borderId="10" xfId="0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5" Type="http://purl.oclc.org/ooxml/officeDocument/relationships/calcChain" Target="calcChain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mc:Ignorable="x14ac">
  <dimension ref="A1:AJ21"/>
  <sheetViews>
    <sheetView tabSelected="1" workbookViewId="0">
      <selection activeCell="A19" sqref="A19"/>
    </sheetView>
  </sheetViews>
  <sheetFormatPr baseColWidth="10" defaultRowHeight="16" x14ac:dyDescent="0.2"/>
  <cols>
    <col min="1" max="1" width="10.1640625" bestFit="1" customWidth="1"/>
    <col min="2" max="3" width="8.83203125" bestFit="1" customWidth="1"/>
    <col min="4" max="4" width="22.5" bestFit="1" customWidth="1"/>
    <col min="5" max="5" width="13.1640625" bestFit="1" customWidth="1"/>
    <col min="6" max="8" width="11.6640625" bestFit="1" customWidth="1"/>
    <col min="9" max="9" width="21.83203125" bestFit="1" customWidth="1"/>
    <col min="10" max="10" width="13.1640625" bestFit="1" customWidth="1"/>
    <col min="11" max="11" width="13" style="11" bestFit="1" customWidth="1"/>
    <col min="12" max="12" width="12" style="11" bestFit="1" customWidth="1"/>
    <col min="13" max="13" width="13" style="11" bestFit="1" customWidth="1"/>
    <col min="14" max="14" width="21" style="11" bestFit="1" customWidth="1"/>
    <col min="15" max="15" width="12" bestFit="1" customWidth="1"/>
    <col min="16" max="16" width="13" bestFit="1" customWidth="1"/>
    <col min="17" max="17" width="12.6640625" bestFit="1" customWidth="1"/>
    <col min="18" max="18" width="11.6640625" bestFit="1" customWidth="1"/>
    <col min="19" max="19" width="23.33203125" bestFit="1" customWidth="1"/>
    <col min="20" max="20" width="11.6640625" bestFit="1" customWidth="1"/>
    <col min="21" max="21" width="14.33203125" bestFit="1" customWidth="1"/>
    <col min="22" max="22" width="14" bestFit="1" customWidth="1"/>
    <col min="23" max="23" width="13" bestFit="1" customWidth="1"/>
    <col min="24" max="24" width="24.6640625" bestFit="1" customWidth="1"/>
    <col min="25" max="25" width="13" bestFit="1" customWidth="1"/>
    <col min="26" max="28" width="10.6640625" bestFit="1" customWidth="1"/>
    <col min="29" max="29" width="19.5" bestFit="1" customWidth="1"/>
    <col min="30" max="33" width="10.6640625" bestFit="1" customWidth="1"/>
    <col min="34" max="34" width="19.1640625" bestFit="1" customWidth="1"/>
    <col min="35" max="35" width="10.6640625" bestFit="1" customWidth="1"/>
    <col min="36" max="36" width="40" bestFit="1" customWidth="1"/>
  </cols>
  <sheetData>
    <row r="1" spans="1:3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</row>
    <row r="2" spans="1:35" x14ac:dyDescent="0.2">
      <c r="A2" s="2">
        <v>310831630</v>
      </c>
      <c r="B2" s="3" t="d">
        <v>2019-09-19</v>
      </c>
      <c r="C2" s="3" t="d">
        <v>2020-09-30</v>
      </c>
      <c r="D2" s="2" t="s">
        <v>35</v>
      </c>
      <c r="E2" s="4">
        <v>586331</v>
      </c>
      <c r="F2" s="5">
        <v>2520971.34</v>
      </c>
      <c r="G2" s="5">
        <v>1125389.3400000001</v>
      </c>
      <c r="H2" s="5">
        <v>1395582</v>
      </c>
      <c r="I2" s="5">
        <v>2520971</v>
      </c>
      <c r="J2" s="1">
        <v>0.34</v>
      </c>
      <c r="K2" s="8">
        <v>630242.85</v>
      </c>
      <c r="L2" s="8">
        <v>281347.84999999998</v>
      </c>
      <c r="M2" s="8">
        <v>348895</v>
      </c>
      <c r="N2" s="8">
        <v>348895</v>
      </c>
      <c r="O2" s="4">
        <v>281347.84999999998</v>
      </c>
      <c r="P2" s="5">
        <v>126048.57</v>
      </c>
      <c r="Q2" s="5">
        <v>56269.57</v>
      </c>
      <c r="R2" s="5">
        <v>69779</v>
      </c>
      <c r="S2" s="5">
        <v>69779</v>
      </c>
      <c r="T2" s="4">
        <v>56269.57</v>
      </c>
      <c r="U2" s="5">
        <v>21008.09</v>
      </c>
      <c r="V2" s="5">
        <v>5728.09</v>
      </c>
      <c r="W2" s="5">
        <v>15280</v>
      </c>
      <c r="X2" s="5">
        <v>15280</v>
      </c>
      <c r="Y2" s="4">
        <v>5728.09</v>
      </c>
      <c r="Z2" s="5">
        <v>210080.94</v>
      </c>
      <c r="AA2" s="5">
        <v>93782.38</v>
      </c>
      <c r="AB2" s="5">
        <v>116298.56</v>
      </c>
      <c r="AC2" s="5">
        <v>116295</v>
      </c>
      <c r="AD2" s="4">
        <v>93785.94</v>
      </c>
      <c r="AE2" s="5">
        <v>136784.54</v>
      </c>
      <c r="AF2" s="5">
        <v>70224.539999999994</v>
      </c>
      <c r="AG2" s="5">
        <v>66560</v>
      </c>
      <c r="AH2" s="5">
        <v>136782</v>
      </c>
      <c r="AI2" s="2">
        <v>2.54</v>
      </c>
    </row>
    <row r="3" spans="1:35" x14ac:dyDescent="0.2">
      <c r="A3" s="2">
        <v>310832464</v>
      </c>
      <c r="B3" s="3" t="d">
        <v>2019-10-25</v>
      </c>
      <c r="C3" s="3" t="d">
        <v>2020-10-25</v>
      </c>
      <c r="D3" s="2" t="s">
        <v>36</v>
      </c>
      <c r="E3" s="1" t="s">
        <v>37</v>
      </c>
      <c r="F3" s="5">
        <v>469494.91</v>
      </c>
      <c r="G3" s="5">
        <v>2160.91</v>
      </c>
      <c r="H3" s="5">
        <v>467334</v>
      </c>
      <c r="I3" s="5">
        <v>469494</v>
      </c>
      <c r="J3" s="1">
        <v>0.91</v>
      </c>
      <c r="K3" s="8">
        <v>116833.73</v>
      </c>
      <c r="L3" s="8">
        <v>0.73</v>
      </c>
      <c r="M3" s="8">
        <v>116833</v>
      </c>
      <c r="N3" s="8">
        <v>116833</v>
      </c>
      <c r="O3" s="1">
        <v>0.73</v>
      </c>
      <c r="P3" s="5">
        <v>23474.75</v>
      </c>
      <c r="Q3" s="2">
        <v>108.74</v>
      </c>
      <c r="R3" s="5">
        <v>23366</v>
      </c>
      <c r="S3" s="5">
        <v>21061</v>
      </c>
      <c r="T3" s="4">
        <v>2413.7399999999998</v>
      </c>
      <c r="U3" s="5">
        <v>3912.46</v>
      </c>
      <c r="V3" s="2">
        <v>18.46</v>
      </c>
      <c r="W3" s="5">
        <v>3894</v>
      </c>
      <c r="X3" s="5">
        <v>3894</v>
      </c>
      <c r="Y3" s="1">
        <v>18.46</v>
      </c>
      <c r="Z3" s="5">
        <v>38944.58</v>
      </c>
      <c r="AA3" s="2">
        <v>0.57999999999999996</v>
      </c>
      <c r="AB3" s="5">
        <v>38944</v>
      </c>
      <c r="AC3" s="5">
        <v>38902</v>
      </c>
      <c r="AD3" s="1">
        <v>42.58</v>
      </c>
      <c r="AE3" s="5">
        <v>35474.300000000003</v>
      </c>
      <c r="AF3" s="5">
        <v>35474.300000000003</v>
      </c>
      <c r="AG3" s="2" t="s">
        <v>37</v>
      </c>
      <c r="AH3" s="5">
        <v>35473</v>
      </c>
      <c r="AI3" s="2">
        <v>1.3</v>
      </c>
    </row>
    <row r="4" spans="1:35" x14ac:dyDescent="0.2">
      <c r="A4" s="2">
        <v>310832398</v>
      </c>
      <c r="B4" s="3" t="d">
        <v>2019-10-23</v>
      </c>
      <c r="C4" s="3" t="d">
        <v>2020-10-31</v>
      </c>
      <c r="D4" s="2" t="s">
        <v>36</v>
      </c>
      <c r="E4" s="4">
        <v>136339</v>
      </c>
      <c r="F4" s="5">
        <v>595243</v>
      </c>
      <c r="G4" s="5">
        <v>2160</v>
      </c>
      <c r="H4" s="5">
        <v>593083</v>
      </c>
      <c r="I4" s="5">
        <v>595243</v>
      </c>
      <c r="J4" s="1" t="s">
        <v>37</v>
      </c>
      <c r="K4" s="8">
        <v>148270.79999999999</v>
      </c>
      <c r="L4" s="8">
        <v>0.8</v>
      </c>
      <c r="M4" s="8">
        <v>148270</v>
      </c>
      <c r="N4" s="8">
        <v>148270</v>
      </c>
      <c r="O4" s="1">
        <v>0.8</v>
      </c>
      <c r="P4" s="5">
        <v>29762.16</v>
      </c>
      <c r="Q4" s="2">
        <v>108.16</v>
      </c>
      <c r="R4" s="5">
        <v>29654</v>
      </c>
      <c r="S4" s="5">
        <v>29654</v>
      </c>
      <c r="T4" s="1">
        <v>108.16</v>
      </c>
      <c r="U4" s="5">
        <v>4960.3599999999997</v>
      </c>
      <c r="V4" s="2">
        <v>18.36</v>
      </c>
      <c r="W4" s="5">
        <v>4942</v>
      </c>
      <c r="X4" s="5">
        <v>4942</v>
      </c>
      <c r="Y4" s="1">
        <v>18.36</v>
      </c>
      <c r="Z4" s="5">
        <v>49423.6</v>
      </c>
      <c r="AA4" s="2">
        <v>0.6</v>
      </c>
      <c r="AB4" s="5">
        <v>49423</v>
      </c>
      <c r="AC4" s="5">
        <v>49297</v>
      </c>
      <c r="AD4" s="1">
        <v>126.6</v>
      </c>
      <c r="AE4" s="5">
        <v>34663.120000000003</v>
      </c>
      <c r="AF4" s="5">
        <v>34663.120000000003</v>
      </c>
      <c r="AG4" s="2" t="s">
        <v>37</v>
      </c>
      <c r="AH4" s="5">
        <v>34661</v>
      </c>
      <c r="AI4" s="2">
        <v>2.12</v>
      </c>
    </row>
    <row r="5" spans="1:35" x14ac:dyDescent="0.2">
      <c r="A5" s="2">
        <v>310832433</v>
      </c>
      <c r="B5" s="3" t="d">
        <v>2019-10-24</v>
      </c>
      <c r="C5" s="3" t="d">
        <v>2020-10-31</v>
      </c>
      <c r="D5" s="2" t="s">
        <v>36</v>
      </c>
      <c r="E5" s="4">
        <v>130059</v>
      </c>
      <c r="F5" s="5">
        <v>522489.12</v>
      </c>
      <c r="G5" s="5">
        <v>2160.12</v>
      </c>
      <c r="H5" s="5">
        <v>520329</v>
      </c>
      <c r="I5" s="5">
        <v>522489</v>
      </c>
      <c r="J5" s="1">
        <v>0.12</v>
      </c>
      <c r="K5" s="8">
        <v>130082.28</v>
      </c>
      <c r="L5" s="8">
        <v>0.28000000000000003</v>
      </c>
      <c r="M5" s="8">
        <v>130082</v>
      </c>
      <c r="N5" s="8">
        <v>130082</v>
      </c>
      <c r="O5" s="1">
        <v>0.28000000000000003</v>
      </c>
      <c r="P5" s="5">
        <v>26124.46</v>
      </c>
      <c r="Q5" s="2">
        <v>108.46</v>
      </c>
      <c r="R5" s="5">
        <v>26016</v>
      </c>
      <c r="S5" s="5">
        <v>26016</v>
      </c>
      <c r="T5" s="1">
        <v>108.46</v>
      </c>
      <c r="U5" s="5">
        <v>4354.08</v>
      </c>
      <c r="V5" s="2">
        <v>18.079999999999998</v>
      </c>
      <c r="W5" s="5">
        <v>4336</v>
      </c>
      <c r="X5" s="5">
        <v>4336</v>
      </c>
      <c r="Y5" s="1">
        <v>18.079999999999998</v>
      </c>
      <c r="Z5" s="5">
        <v>43360.76</v>
      </c>
      <c r="AA5" s="2">
        <v>0.76</v>
      </c>
      <c r="AB5" s="5">
        <v>43360</v>
      </c>
      <c r="AC5" s="5">
        <v>43318</v>
      </c>
      <c r="AD5" s="1">
        <v>42.76</v>
      </c>
      <c r="AE5" s="5">
        <v>47609.61</v>
      </c>
      <c r="AF5" s="5">
        <v>47609.61</v>
      </c>
      <c r="AG5" s="2" t="s">
        <v>37</v>
      </c>
      <c r="AH5" s="5">
        <v>47609</v>
      </c>
      <c r="AI5" s="2">
        <v>0.61</v>
      </c>
    </row>
    <row r="6" spans="1:35" x14ac:dyDescent="0.2">
      <c r="A6" s="2">
        <v>310832432</v>
      </c>
      <c r="B6" s="3" t="d">
        <v>2019-10-24</v>
      </c>
      <c r="C6" s="3" t="d">
        <v>2020-10-31</v>
      </c>
      <c r="D6" s="2" t="s">
        <v>36</v>
      </c>
      <c r="E6" s="4">
        <v>98689</v>
      </c>
      <c r="F6" s="5">
        <v>542322.86</v>
      </c>
      <c r="G6" s="5">
        <v>2160.86</v>
      </c>
      <c r="H6" s="5">
        <v>540162</v>
      </c>
      <c r="I6" s="5">
        <v>542322</v>
      </c>
      <c r="J6" s="1">
        <v>0.86</v>
      </c>
      <c r="K6" s="8">
        <v>135040.72</v>
      </c>
      <c r="L6" s="8">
        <v>0.72</v>
      </c>
      <c r="M6" s="8">
        <v>135040</v>
      </c>
      <c r="N6" s="8">
        <v>135040</v>
      </c>
      <c r="O6" s="1">
        <v>0.72</v>
      </c>
      <c r="P6" s="5">
        <v>27116.14</v>
      </c>
      <c r="Q6" s="2">
        <v>108.14</v>
      </c>
      <c r="R6" s="5">
        <v>27008</v>
      </c>
      <c r="S6" s="5">
        <v>27008</v>
      </c>
      <c r="T6" s="1">
        <v>108.14</v>
      </c>
      <c r="U6" s="5">
        <v>4519.3599999999997</v>
      </c>
      <c r="V6" s="2">
        <v>18.36</v>
      </c>
      <c r="W6" s="5">
        <v>4501</v>
      </c>
      <c r="X6" s="5">
        <v>4501</v>
      </c>
      <c r="Y6" s="1">
        <v>18.36</v>
      </c>
      <c r="Z6" s="5">
        <v>45013.57</v>
      </c>
      <c r="AA6" s="2">
        <v>0.56999999999999995</v>
      </c>
      <c r="AB6" s="5">
        <v>45013</v>
      </c>
      <c r="AC6" s="5">
        <v>44929</v>
      </c>
      <c r="AD6" s="1">
        <v>84.57</v>
      </c>
      <c r="AE6" s="5">
        <v>54912.87</v>
      </c>
      <c r="AF6" s="5">
        <v>54912.87</v>
      </c>
      <c r="AG6" s="2" t="s">
        <v>37</v>
      </c>
      <c r="AH6" s="5">
        <v>54912</v>
      </c>
      <c r="AI6" s="2">
        <v>0.87</v>
      </c>
    </row>
    <row r="7" spans="1:35" x14ac:dyDescent="0.2">
      <c r="A7" s="2">
        <v>310832430</v>
      </c>
      <c r="B7" s="3" t="d">
        <v>2019-10-24</v>
      </c>
      <c r="C7" s="3" t="d">
        <v>2020-10-31</v>
      </c>
      <c r="D7" s="2" t="s">
        <v>36</v>
      </c>
      <c r="E7" s="4">
        <v>185022</v>
      </c>
      <c r="F7" s="5">
        <v>575822.1</v>
      </c>
      <c r="G7" s="5">
        <v>2521.1</v>
      </c>
      <c r="H7" s="5">
        <v>573301</v>
      </c>
      <c r="I7" s="5">
        <v>575822</v>
      </c>
      <c r="J7" s="1">
        <v>0.1</v>
      </c>
      <c r="K7" s="8">
        <v>143325.53</v>
      </c>
      <c r="L7" s="8">
        <v>0.52</v>
      </c>
      <c r="M7" s="8">
        <v>143325</v>
      </c>
      <c r="N7" s="8">
        <v>143325</v>
      </c>
      <c r="O7" s="1">
        <v>0.52</v>
      </c>
      <c r="P7" s="5">
        <v>28791.11</v>
      </c>
      <c r="Q7" s="2">
        <v>126.1</v>
      </c>
      <c r="R7" s="5">
        <v>28665</v>
      </c>
      <c r="S7" s="5">
        <v>28665</v>
      </c>
      <c r="T7" s="1">
        <v>126.1</v>
      </c>
      <c r="U7" s="5">
        <v>4798.5200000000004</v>
      </c>
      <c r="V7" s="2">
        <v>21.52</v>
      </c>
      <c r="W7" s="5">
        <v>4777</v>
      </c>
      <c r="X7" s="5">
        <v>4777</v>
      </c>
      <c r="Y7" s="1">
        <v>21.52</v>
      </c>
      <c r="Z7" s="5">
        <v>47775.18</v>
      </c>
      <c r="AA7" s="2">
        <v>0.18</v>
      </c>
      <c r="AB7" s="5">
        <v>47775</v>
      </c>
      <c r="AC7" s="5">
        <v>47772</v>
      </c>
      <c r="AD7" s="1">
        <v>3.18</v>
      </c>
      <c r="AE7" s="5">
        <v>47024.73</v>
      </c>
      <c r="AF7" s="5">
        <v>47024.73</v>
      </c>
      <c r="AG7" s="2" t="s">
        <v>37</v>
      </c>
      <c r="AH7" s="5">
        <v>47023</v>
      </c>
      <c r="AI7" s="2">
        <v>1.72</v>
      </c>
    </row>
    <row r="8" spans="1:35" x14ac:dyDescent="0.2">
      <c r="A8" s="2">
        <v>310833322</v>
      </c>
      <c r="B8" s="3" t="d">
        <v>2019-12-10</v>
      </c>
      <c r="C8" s="3" t="d">
        <v>2020-12-31</v>
      </c>
      <c r="D8" s="2" t="s">
        <v>38</v>
      </c>
      <c r="E8" s="4">
        <v>98454</v>
      </c>
      <c r="F8" s="5">
        <v>559158</v>
      </c>
      <c r="G8" s="2">
        <v>168</v>
      </c>
      <c r="H8" s="5">
        <v>558990</v>
      </c>
      <c r="I8" s="5">
        <v>559158</v>
      </c>
      <c r="J8" s="1" t="s">
        <v>37</v>
      </c>
      <c r="K8" s="8">
        <v>139747.5</v>
      </c>
      <c r="L8" s="8">
        <v>0.5</v>
      </c>
      <c r="M8" s="8">
        <v>139747</v>
      </c>
      <c r="N8" s="8">
        <v>139747</v>
      </c>
      <c r="O8" s="1">
        <v>0.5</v>
      </c>
      <c r="P8" s="5">
        <v>27957.9</v>
      </c>
      <c r="Q8" s="2">
        <v>8.9</v>
      </c>
      <c r="R8" s="5">
        <v>27949</v>
      </c>
      <c r="S8" s="5">
        <v>27945</v>
      </c>
      <c r="T8" s="1">
        <v>12.9</v>
      </c>
      <c r="U8" s="5">
        <v>4659.6499999999996</v>
      </c>
      <c r="V8" s="2">
        <v>1.65</v>
      </c>
      <c r="W8" s="5">
        <v>4658</v>
      </c>
      <c r="X8" s="5">
        <v>4658</v>
      </c>
      <c r="Y8" s="1">
        <v>1.65</v>
      </c>
      <c r="Z8" s="5">
        <v>46582.5</v>
      </c>
      <c r="AA8" s="2">
        <v>0.5</v>
      </c>
      <c r="AB8" s="5">
        <v>46582</v>
      </c>
      <c r="AC8" s="5">
        <v>46341</v>
      </c>
      <c r="AD8" s="1">
        <v>241.5</v>
      </c>
      <c r="AE8" s="5">
        <v>94057.05</v>
      </c>
      <c r="AF8" s="5">
        <v>94057.05</v>
      </c>
      <c r="AG8" s="2" t="s">
        <v>37</v>
      </c>
      <c r="AH8" s="5">
        <v>94057</v>
      </c>
      <c r="AI8" s="2">
        <v>0.05</v>
      </c>
    </row>
    <row r="9" spans="1:35" x14ac:dyDescent="0.2">
      <c r="A9" s="2">
        <v>310833286</v>
      </c>
      <c r="B9" s="3" t="d">
        <v>2019-12-09</v>
      </c>
      <c r="C9" s="3" t="d">
        <v>2020-12-31</v>
      </c>
      <c r="D9" s="2" t="s">
        <v>38</v>
      </c>
      <c r="E9" s="4">
        <v>159396</v>
      </c>
      <c r="F9" s="5">
        <v>534078</v>
      </c>
      <c r="G9" s="2">
        <v>168</v>
      </c>
      <c r="H9" s="5">
        <v>533910</v>
      </c>
      <c r="I9" s="5">
        <v>534078</v>
      </c>
      <c r="J9" s="1" t="s">
        <v>37</v>
      </c>
      <c r="K9" s="8">
        <v>133477.5</v>
      </c>
      <c r="L9" s="8">
        <v>0.5</v>
      </c>
      <c r="M9" s="8">
        <v>133477</v>
      </c>
      <c r="N9" s="8">
        <v>133477</v>
      </c>
      <c r="O9" s="1">
        <v>0.5</v>
      </c>
      <c r="P9" s="5">
        <v>26703.9</v>
      </c>
      <c r="Q9" s="2">
        <v>8.9</v>
      </c>
      <c r="R9" s="5">
        <v>26695</v>
      </c>
      <c r="S9" s="5">
        <v>26695</v>
      </c>
      <c r="T9" s="1">
        <v>8.9</v>
      </c>
      <c r="U9" s="5">
        <v>4450.6499999999996</v>
      </c>
      <c r="V9" s="2">
        <v>1.65</v>
      </c>
      <c r="W9" s="5">
        <v>4449</v>
      </c>
      <c r="X9" s="5">
        <v>4449</v>
      </c>
      <c r="Y9" s="1">
        <v>1.65</v>
      </c>
      <c r="Z9" s="5">
        <v>44492.5</v>
      </c>
      <c r="AA9" s="2">
        <v>0.5</v>
      </c>
      <c r="AB9" s="5">
        <v>44492</v>
      </c>
      <c r="AC9" s="5">
        <v>44491</v>
      </c>
      <c r="AD9" s="1">
        <v>1.5</v>
      </c>
      <c r="AE9" s="5">
        <v>47304.28</v>
      </c>
      <c r="AF9" s="5">
        <v>47304.28</v>
      </c>
      <c r="AG9" s="2" t="s">
        <v>37</v>
      </c>
      <c r="AH9" s="5">
        <v>47304</v>
      </c>
      <c r="AI9" s="2">
        <v>0.28000000000000003</v>
      </c>
    </row>
    <row r="10" spans="1:35" x14ac:dyDescent="0.2">
      <c r="A10" s="2">
        <v>310833310</v>
      </c>
      <c r="B10" s="3" t="d">
        <v>2019-12-09</v>
      </c>
      <c r="C10" s="3" t="d">
        <v>2020-12-31</v>
      </c>
      <c r="D10" s="2" t="s">
        <v>36</v>
      </c>
      <c r="E10" s="1">
        <v>390</v>
      </c>
      <c r="F10" s="5">
        <v>577638</v>
      </c>
      <c r="G10" s="5">
        <v>2160</v>
      </c>
      <c r="H10" s="5">
        <v>575478</v>
      </c>
      <c r="I10" s="5">
        <v>539838</v>
      </c>
      <c r="J10" s="4">
        <v>37800</v>
      </c>
      <c r="K10" s="8">
        <v>143869.5</v>
      </c>
      <c r="L10" s="8">
        <v>0.5</v>
      </c>
      <c r="M10" s="8">
        <v>143869</v>
      </c>
      <c r="N10" s="8">
        <v>143869</v>
      </c>
      <c r="O10" s="1">
        <v>0.5</v>
      </c>
      <c r="P10" s="5">
        <v>28881.9</v>
      </c>
      <c r="Q10" s="2">
        <v>108.9</v>
      </c>
      <c r="R10" s="5">
        <v>28773</v>
      </c>
      <c r="S10" s="5">
        <v>1682</v>
      </c>
      <c r="T10" s="4">
        <v>27199.9</v>
      </c>
      <c r="U10" s="5">
        <v>4813.6499999999996</v>
      </c>
      <c r="V10" s="2">
        <v>18.649999999999999</v>
      </c>
      <c r="W10" s="5">
        <v>4795</v>
      </c>
      <c r="X10" s="5">
        <v>4795</v>
      </c>
      <c r="Y10" s="1">
        <v>18.649999999999999</v>
      </c>
      <c r="Z10" s="5">
        <v>47956.5</v>
      </c>
      <c r="AA10" s="2">
        <v>0.5</v>
      </c>
      <c r="AB10" s="5">
        <v>47956</v>
      </c>
      <c r="AC10" s="5">
        <v>47955</v>
      </c>
      <c r="AD10" s="1">
        <v>1.5</v>
      </c>
      <c r="AE10" s="5">
        <v>67914.47</v>
      </c>
      <c r="AF10" s="5">
        <v>67914.47</v>
      </c>
      <c r="AG10" s="2" t="s">
        <v>37</v>
      </c>
      <c r="AH10" s="2" t="s">
        <v>37</v>
      </c>
      <c r="AI10" s="5">
        <v>67914.47</v>
      </c>
    </row>
    <row r="11" spans="1:35" x14ac:dyDescent="0.2">
      <c r="A11" s="2">
        <v>310833304</v>
      </c>
      <c r="B11" s="3" t="d">
        <v>2019-12-09</v>
      </c>
      <c r="C11" s="3" t="d">
        <v>2020-12-31</v>
      </c>
      <c r="D11" s="2" t="s">
        <v>39</v>
      </c>
      <c r="E11" s="4">
        <v>1431393</v>
      </c>
      <c r="F11" s="5">
        <v>7185473.8600000003</v>
      </c>
      <c r="G11" s="5">
        <v>2127493.86</v>
      </c>
      <c r="H11" s="5">
        <v>5057980</v>
      </c>
      <c r="I11" s="5">
        <v>7185473</v>
      </c>
      <c r="J11" s="1">
        <v>0.86</v>
      </c>
      <c r="K11" s="8">
        <v>1796368.47</v>
      </c>
      <c r="L11" s="8">
        <v>531873.47</v>
      </c>
      <c r="M11" s="8">
        <v>1264495</v>
      </c>
      <c r="N11" s="8">
        <v>1264495</v>
      </c>
      <c r="O11" s="4">
        <v>531873.47</v>
      </c>
      <c r="P11" s="5">
        <v>359273.69</v>
      </c>
      <c r="Q11" s="5">
        <v>106374.69</v>
      </c>
      <c r="R11" s="5">
        <v>252899</v>
      </c>
      <c r="S11" s="5">
        <v>160015</v>
      </c>
      <c r="T11" s="4">
        <v>199258.69</v>
      </c>
      <c r="U11" s="5">
        <v>59878.95</v>
      </c>
      <c r="V11" s="5">
        <v>17729.95</v>
      </c>
      <c r="W11" s="5">
        <v>42149</v>
      </c>
      <c r="X11" s="5">
        <v>42149</v>
      </c>
      <c r="Y11" s="4">
        <v>17729.95</v>
      </c>
      <c r="Z11" s="5">
        <v>598789.49</v>
      </c>
      <c r="AA11" s="5">
        <v>177291.49</v>
      </c>
      <c r="AB11" s="5">
        <v>421498</v>
      </c>
      <c r="AC11" s="5">
        <v>421497</v>
      </c>
      <c r="AD11" s="4">
        <v>177292.49</v>
      </c>
      <c r="AE11" s="2"/>
      <c r="AF11" s="2"/>
      <c r="AG11" s="2"/>
      <c r="AH11" s="2"/>
      <c r="AI11" s="2"/>
    </row>
    <row r="12" spans="1:35" x14ac:dyDescent="0.2">
      <c r="A12" s="2">
        <v>310833303</v>
      </c>
      <c r="B12" s="3" t="d">
        <v>2019-12-09</v>
      </c>
      <c r="C12" s="3" t="d">
        <v>2020-12-31</v>
      </c>
      <c r="D12" s="2" t="s">
        <v>38</v>
      </c>
      <c r="E12" s="4">
        <v>98323</v>
      </c>
      <c r="F12" s="5">
        <v>536627.52</v>
      </c>
      <c r="G12" s="2">
        <v>168.52</v>
      </c>
      <c r="H12" s="5">
        <v>536459</v>
      </c>
      <c r="I12" s="5">
        <v>536627</v>
      </c>
      <c r="J12" s="1">
        <v>0.52</v>
      </c>
      <c r="K12" s="8">
        <v>134114.48000000001</v>
      </c>
      <c r="L12" s="8">
        <v>0.48</v>
      </c>
      <c r="M12" s="8">
        <v>134114</v>
      </c>
      <c r="N12" s="8">
        <v>134114</v>
      </c>
      <c r="O12" s="1">
        <v>0.48</v>
      </c>
      <c r="P12" s="5">
        <v>26831.37</v>
      </c>
      <c r="Q12" s="2">
        <v>9.3699999999999992</v>
      </c>
      <c r="R12" s="5">
        <v>26822</v>
      </c>
      <c r="S12" s="5">
        <v>13055</v>
      </c>
      <c r="T12" s="4">
        <v>13776.37</v>
      </c>
      <c r="U12" s="5">
        <v>4471.8900000000003</v>
      </c>
      <c r="V12" s="2">
        <v>1.89</v>
      </c>
      <c r="W12" s="5">
        <v>4470</v>
      </c>
      <c r="X12" s="5">
        <v>4470</v>
      </c>
      <c r="Y12" s="1">
        <v>1.89</v>
      </c>
      <c r="Z12" s="5">
        <v>44704.959999999999</v>
      </c>
      <c r="AA12" s="2">
        <v>0.96</v>
      </c>
      <c r="AB12" s="5">
        <v>44704</v>
      </c>
      <c r="AC12" s="5">
        <v>44700</v>
      </c>
      <c r="AD12" s="1">
        <v>4.96</v>
      </c>
      <c r="AE12" s="5">
        <v>52692.12</v>
      </c>
      <c r="AF12" s="5">
        <v>52692.12</v>
      </c>
      <c r="AG12" s="2" t="s">
        <v>37</v>
      </c>
      <c r="AH12" s="5">
        <v>52692</v>
      </c>
      <c r="AI12" s="1">
        <v>0.12</v>
      </c>
    </row>
    <row r="13" spans="1:35" x14ac:dyDescent="0.2">
      <c r="A13" s="2">
        <v>310833305</v>
      </c>
      <c r="B13" s="3" t="d">
        <v>2019-12-09</v>
      </c>
      <c r="C13" s="3" t="d">
        <v>2020-12-31</v>
      </c>
      <c r="D13" s="2" t="s">
        <v>38</v>
      </c>
      <c r="E13" s="4">
        <v>119897</v>
      </c>
      <c r="F13" s="5">
        <v>432102.78</v>
      </c>
      <c r="G13" s="2">
        <v>168.78</v>
      </c>
      <c r="H13" s="5">
        <v>431934</v>
      </c>
      <c r="I13" s="5">
        <v>432102</v>
      </c>
      <c r="J13" s="1">
        <v>0.78</v>
      </c>
      <c r="K13" s="8">
        <v>107983.69</v>
      </c>
      <c r="L13" s="8">
        <v>0.69</v>
      </c>
      <c r="M13" s="8">
        <v>107983</v>
      </c>
      <c r="N13" s="8">
        <v>107983</v>
      </c>
      <c r="O13" s="1">
        <v>0.69</v>
      </c>
      <c r="P13" s="5">
        <v>21605.14</v>
      </c>
      <c r="Q13" s="2">
        <v>9.14</v>
      </c>
      <c r="R13" s="5">
        <v>21596</v>
      </c>
      <c r="S13" s="2" t="s">
        <v>37</v>
      </c>
      <c r="T13" s="4">
        <v>21605.14</v>
      </c>
      <c r="U13" s="5">
        <v>3600.85</v>
      </c>
      <c r="V13" s="2">
        <v>1.85</v>
      </c>
      <c r="W13" s="5">
        <v>3599</v>
      </c>
      <c r="X13" s="5">
        <v>3599</v>
      </c>
      <c r="Y13" s="1">
        <v>1.85</v>
      </c>
      <c r="Z13" s="5">
        <v>35994.97</v>
      </c>
      <c r="AA13" s="2">
        <v>0.97</v>
      </c>
      <c r="AB13" s="5">
        <v>35994</v>
      </c>
      <c r="AC13" s="5">
        <v>35990</v>
      </c>
      <c r="AD13" s="1">
        <v>4.97</v>
      </c>
      <c r="AE13" s="5">
        <v>45003.26</v>
      </c>
      <c r="AF13" s="5">
        <v>45003.26</v>
      </c>
      <c r="AG13" s="2" t="s">
        <v>37</v>
      </c>
      <c r="AH13" s="5">
        <v>45003</v>
      </c>
      <c r="AI13" s="1">
        <v>0.26</v>
      </c>
    </row>
    <row r="14" spans="1:35" x14ac:dyDescent="0.2">
      <c r="A14" s="2">
        <v>310833321</v>
      </c>
      <c r="B14" s="3" t="d">
        <v>2019-12-10</v>
      </c>
      <c r="C14" s="3" t="d">
        <v>2020-12-31</v>
      </c>
      <c r="D14" s="2" t="s">
        <v>38</v>
      </c>
      <c r="E14" s="4">
        <v>194136</v>
      </c>
      <c r="F14" s="5">
        <v>571407.15</v>
      </c>
      <c r="G14" s="2">
        <v>168.15</v>
      </c>
      <c r="H14" s="5">
        <v>571239</v>
      </c>
      <c r="I14" s="5">
        <v>571407</v>
      </c>
      <c r="J14" s="1">
        <v>0.15</v>
      </c>
      <c r="K14" s="8">
        <v>142809.79</v>
      </c>
      <c r="L14" s="8">
        <v>0.79</v>
      </c>
      <c r="M14" s="8">
        <v>142809</v>
      </c>
      <c r="N14" s="8">
        <v>142809</v>
      </c>
      <c r="O14" s="1">
        <v>0.79</v>
      </c>
      <c r="P14" s="5">
        <v>28570.36</v>
      </c>
      <c r="Q14" s="2">
        <v>9.36</v>
      </c>
      <c r="R14" s="5">
        <v>28561</v>
      </c>
      <c r="S14" s="2" t="s">
        <v>37</v>
      </c>
      <c r="T14" s="4">
        <v>28570.36</v>
      </c>
      <c r="U14" s="5">
        <v>4761.7299999999996</v>
      </c>
      <c r="V14" s="2">
        <v>1.73</v>
      </c>
      <c r="W14" s="5">
        <v>4760</v>
      </c>
      <c r="X14" s="5">
        <v>4759</v>
      </c>
      <c r="Y14" s="1">
        <v>2.73</v>
      </c>
      <c r="Z14" s="5">
        <v>47603.26</v>
      </c>
      <c r="AA14" s="2">
        <v>0.26</v>
      </c>
      <c r="AB14" s="5">
        <v>47603</v>
      </c>
      <c r="AC14" s="5">
        <v>47600</v>
      </c>
      <c r="AD14" s="1">
        <v>3.26</v>
      </c>
      <c r="AE14" s="5">
        <v>44590.02</v>
      </c>
      <c r="AF14" s="5">
        <v>44590.02</v>
      </c>
      <c r="AG14" s="2" t="s">
        <v>37</v>
      </c>
      <c r="AH14" s="5">
        <v>44590</v>
      </c>
      <c r="AI14" s="1">
        <v>0.01</v>
      </c>
    </row>
    <row r="15" spans="1:35" x14ac:dyDescent="0.2">
      <c r="A15" s="2">
        <v>310833996</v>
      </c>
      <c r="B15" s="3" t="d">
        <v>2020-01-08</v>
      </c>
      <c r="C15" s="3" t="d">
        <v>2021-01-31</v>
      </c>
      <c r="D15" s="2" t="s">
        <v>40</v>
      </c>
      <c r="E15" s="4">
        <v>1978824</v>
      </c>
      <c r="F15" s="5">
        <v>1745557.46</v>
      </c>
      <c r="G15" s="5">
        <v>1230948.46</v>
      </c>
      <c r="H15" s="5">
        <v>514609</v>
      </c>
      <c r="I15" s="2" t="s">
        <v>37</v>
      </c>
      <c r="J15" s="4">
        <v>1745557.46</v>
      </c>
      <c r="K15" s="8">
        <v>436389.37</v>
      </c>
      <c r="L15" s="8">
        <v>307737.37</v>
      </c>
      <c r="M15" s="8">
        <v>128652</v>
      </c>
      <c r="N15" s="8">
        <v>128652</v>
      </c>
      <c r="O15" s="4">
        <v>307737.37</v>
      </c>
      <c r="P15" s="5">
        <v>87277.69</v>
      </c>
      <c r="Q15" s="5">
        <v>61547.69</v>
      </c>
      <c r="R15" s="5">
        <v>25730</v>
      </c>
      <c r="S15" s="2" t="s">
        <v>37</v>
      </c>
      <c r="T15" s="4">
        <v>87277.69</v>
      </c>
      <c r="U15" s="5">
        <v>14546.3</v>
      </c>
      <c r="V15" s="5">
        <v>10258.299999999999</v>
      </c>
      <c r="W15" s="5">
        <v>4288</v>
      </c>
      <c r="X15" s="5">
        <v>4288</v>
      </c>
      <c r="Y15" s="4">
        <v>10258.299999999999</v>
      </c>
      <c r="Z15" s="5">
        <v>145463.10999999999</v>
      </c>
      <c r="AA15" s="5">
        <v>102579.11</v>
      </c>
      <c r="AB15" s="5">
        <v>42884</v>
      </c>
      <c r="AC15" s="5">
        <v>42880</v>
      </c>
      <c r="AD15" s="4">
        <v>102583.11</v>
      </c>
      <c r="AE15" s="5">
        <v>383574.04</v>
      </c>
      <c r="AF15" s="5">
        <v>285519.03999999998</v>
      </c>
      <c r="AG15" s="5">
        <v>98055</v>
      </c>
      <c r="AH15" s="5">
        <v>383574</v>
      </c>
      <c r="AI15" s="1">
        <v>0.04</v>
      </c>
    </row>
    <row r="16" spans="1:35" x14ac:dyDescent="0.2">
      <c r="A16" s="2">
        <v>310834153</v>
      </c>
      <c r="B16" s="3" t="d">
        <v>2020-01-15</v>
      </c>
      <c r="C16" s="3" t="d">
        <v>2021-01-31</v>
      </c>
      <c r="D16" s="2" t="s">
        <v>41</v>
      </c>
      <c r="E16" s="4">
        <v>429483</v>
      </c>
      <c r="F16" s="5">
        <v>744478.21</v>
      </c>
      <c r="G16" s="5">
        <v>102375.21</v>
      </c>
      <c r="H16" s="5">
        <v>642103</v>
      </c>
      <c r="I16" s="2" t="s">
        <v>37</v>
      </c>
      <c r="J16" s="4">
        <v>744478.21</v>
      </c>
      <c r="K16" s="8">
        <v>186119.55</v>
      </c>
      <c r="L16" s="8">
        <v>25594.55</v>
      </c>
      <c r="M16" s="8">
        <v>160525</v>
      </c>
      <c r="N16" s="8">
        <v>111649</v>
      </c>
      <c r="O16" s="4">
        <v>74470.55</v>
      </c>
      <c r="P16" s="5">
        <v>37223.910000000003</v>
      </c>
      <c r="Q16" s="5">
        <v>5118.91</v>
      </c>
      <c r="R16" s="5">
        <v>32105</v>
      </c>
      <c r="S16" s="2" t="s">
        <v>37</v>
      </c>
      <c r="T16" s="4">
        <v>37223.910000000003</v>
      </c>
      <c r="U16" s="5">
        <v>6203.98</v>
      </c>
      <c r="V16" s="2">
        <v>853.98</v>
      </c>
      <c r="W16" s="5">
        <v>5350</v>
      </c>
      <c r="X16" s="5">
        <v>5350</v>
      </c>
      <c r="Y16" s="1">
        <v>853.98</v>
      </c>
      <c r="Z16" s="5">
        <v>62039.85</v>
      </c>
      <c r="AA16" s="5">
        <v>8516.85</v>
      </c>
      <c r="AB16" s="5">
        <v>53523</v>
      </c>
      <c r="AC16" s="5">
        <v>53520</v>
      </c>
      <c r="AD16" s="4">
        <v>8519.85</v>
      </c>
      <c r="AE16" s="5">
        <v>198960</v>
      </c>
      <c r="AF16" s="5">
        <v>11117</v>
      </c>
      <c r="AG16" s="5">
        <v>187843</v>
      </c>
      <c r="AH16" s="5">
        <v>198960</v>
      </c>
      <c r="AI16" s="1" t="s">
        <v>37</v>
      </c>
    </row>
    <row r="17" spans="1:36" x14ac:dyDescent="0.2">
      <c r="A17" s="2">
        <v>310834151</v>
      </c>
      <c r="B17" s="3" t="d">
        <v>2020-01-15</v>
      </c>
      <c r="C17" s="3" t="d">
        <v>2021-01-31</v>
      </c>
      <c r="D17" s="2" t="s">
        <v>42</v>
      </c>
      <c r="E17" s="4">
        <v>49305</v>
      </c>
      <c r="F17" s="5">
        <v>276007.2</v>
      </c>
      <c r="G17" s="2" t="s">
        <v>37</v>
      </c>
      <c r="H17" s="5">
        <v>276007.2</v>
      </c>
      <c r="I17" s="5">
        <v>276007</v>
      </c>
      <c r="J17" s="1">
        <v>0.2</v>
      </c>
      <c r="K17" s="8">
        <v>69001.8</v>
      </c>
      <c r="L17" s="8" t="s">
        <v>37</v>
      </c>
      <c r="M17" s="8">
        <v>69001.8</v>
      </c>
      <c r="N17" s="8">
        <v>55650</v>
      </c>
      <c r="O17" s="4">
        <v>13351.8</v>
      </c>
      <c r="P17" s="5">
        <v>13800.36</v>
      </c>
      <c r="Q17" s="2">
        <v>0</v>
      </c>
      <c r="R17" s="5">
        <v>13800.36</v>
      </c>
      <c r="S17" s="2" t="s">
        <v>37</v>
      </c>
      <c r="T17" s="4">
        <v>13800.36</v>
      </c>
      <c r="U17" s="5">
        <v>2300.06</v>
      </c>
      <c r="V17" s="2" t="s">
        <v>37</v>
      </c>
      <c r="W17" s="5">
        <v>2300.06</v>
      </c>
      <c r="X17" s="5">
        <v>2300</v>
      </c>
      <c r="Y17" s="1">
        <v>0.06</v>
      </c>
      <c r="Z17" s="5">
        <v>23000.6</v>
      </c>
      <c r="AA17" s="2" t="s">
        <v>37</v>
      </c>
      <c r="AB17" s="5">
        <v>23000.6</v>
      </c>
      <c r="AC17" s="5">
        <v>22998</v>
      </c>
      <c r="AD17" s="1">
        <v>2.6</v>
      </c>
      <c r="AE17" s="5">
        <v>17025.75</v>
      </c>
      <c r="AF17" s="2">
        <v>0.75</v>
      </c>
      <c r="AG17" s="5">
        <v>17025</v>
      </c>
      <c r="AH17" s="5">
        <v>17025</v>
      </c>
      <c r="AI17" s="1">
        <v>0.75</v>
      </c>
    </row>
    <row r="18" spans="1:36" x14ac:dyDescent="0.2">
      <c r="A18" s="2">
        <v>310834746</v>
      </c>
      <c r="B18" s="3" t="d">
        <v>2020-02-10</v>
      </c>
      <c r="C18" s="3" t="d">
        <v>2021-02-28</v>
      </c>
      <c r="D18" s="2" t="s">
        <v>43</v>
      </c>
      <c r="E18" s="4">
        <v>254887</v>
      </c>
      <c r="F18" s="5">
        <v>804753.78</v>
      </c>
      <c r="G18" s="5">
        <v>102867.78</v>
      </c>
      <c r="H18" s="5">
        <v>701886</v>
      </c>
      <c r="I18" s="5">
        <v>17000</v>
      </c>
      <c r="J18" s="4">
        <v>787753.78</v>
      </c>
      <c r="K18" s="8">
        <v>201188.45</v>
      </c>
      <c r="L18" s="8">
        <v>25717.45</v>
      </c>
      <c r="M18" s="8">
        <v>175471</v>
      </c>
      <c r="N18" s="8">
        <v>175471</v>
      </c>
      <c r="O18" s="4">
        <v>25717.45</v>
      </c>
      <c r="P18" s="5">
        <v>40237.69</v>
      </c>
      <c r="Q18" s="5">
        <v>5143.6899999999996</v>
      </c>
      <c r="R18" s="5">
        <v>35094</v>
      </c>
      <c r="S18" s="2" t="s">
        <v>37</v>
      </c>
      <c r="T18" s="4">
        <v>40237.69</v>
      </c>
      <c r="U18" s="5">
        <v>6706.28</v>
      </c>
      <c r="V18" s="2">
        <v>857.28</v>
      </c>
      <c r="W18" s="5">
        <v>5849</v>
      </c>
      <c r="X18" s="5">
        <v>5135</v>
      </c>
      <c r="Y18" s="4">
        <v>1571.28</v>
      </c>
      <c r="Z18" s="5">
        <v>67062.820000000007</v>
      </c>
      <c r="AA18" s="5">
        <v>8572.82</v>
      </c>
      <c r="AB18" s="5">
        <v>58490</v>
      </c>
      <c r="AC18" s="5">
        <v>58490</v>
      </c>
      <c r="AD18" s="4">
        <v>8572.82</v>
      </c>
      <c r="AE18" s="5">
        <v>86737.35</v>
      </c>
      <c r="AF18" s="5">
        <v>11745.35</v>
      </c>
      <c r="AG18" s="5">
        <v>74992</v>
      </c>
      <c r="AH18" s="5">
        <v>92290</v>
      </c>
      <c r="AI18" s="1" t="s">
        <v>37</v>
      </c>
    </row>
    <row r="19" spans="1:36" x14ac:dyDescent="0.2">
      <c r="A19" s="6">
        <v>310835522</v>
      </c>
      <c r="B19" s="14" t="d">
        <v>2020-03-19</v>
      </c>
      <c r="C19" s="14" t="d">
        <v>2021-03-31</v>
      </c>
      <c r="D19" s="6" t="s">
        <v>44</v>
      </c>
      <c r="E19" s="15">
        <v>8325895</v>
      </c>
      <c r="F19" s="5">
        <v>9687159</v>
      </c>
      <c r="G19" s="2" t="s">
        <v>37</v>
      </c>
      <c r="H19" s="5">
        <v>9687159</v>
      </c>
      <c r="I19" s="2" t="s">
        <v>37</v>
      </c>
      <c r="J19" s="4">
        <v>9687159</v>
      </c>
      <c r="K19" s="9">
        <v>1591673</v>
      </c>
      <c r="L19" s="10">
        <v>142630</v>
      </c>
      <c r="M19" s="10">
        <v>1471895</v>
      </c>
      <c r="N19" s="8">
        <v>991660</v>
      </c>
      <c r="O19" s="12">
        <f>K19-N19</f>
        <v>600013</v>
      </c>
      <c r="P19" s="5">
        <v>484358</v>
      </c>
      <c r="Q19" s="5">
        <v>42789</v>
      </c>
      <c r="R19" s="5">
        <v>441568</v>
      </c>
      <c r="S19" s="2" t="s">
        <v>37</v>
      </c>
      <c r="T19" s="4">
        <f>P19</f>
        <v>484358</v>
      </c>
      <c r="U19" s="5">
        <v>80726.320000000007</v>
      </c>
      <c r="V19" s="5">
        <v>7131</v>
      </c>
      <c r="W19" s="5">
        <v>73594</v>
      </c>
      <c r="X19" s="2" t="s">
        <v>37</v>
      </c>
      <c r="Y19" s="4">
        <v>80726.320000000007</v>
      </c>
      <c r="Z19" s="5">
        <v>807263.3</v>
      </c>
      <c r="AA19" s="5">
        <v>71315</v>
      </c>
      <c r="AB19" s="5">
        <v>735947</v>
      </c>
      <c r="AC19" s="5">
        <v>342957</v>
      </c>
      <c r="AD19" s="4">
        <f>Z19-AC19</f>
        <v>464306.30000000005</v>
      </c>
      <c r="AE19" s="5">
        <v>662292.80000000005</v>
      </c>
      <c r="AF19" s="5">
        <v>331146.8</v>
      </c>
      <c r="AG19" s="5">
        <v>331146</v>
      </c>
      <c r="AH19" s="2" t="s">
        <v>37</v>
      </c>
      <c r="AI19" s="4">
        <v>662292.80000000005</v>
      </c>
      <c r="AJ19" s="13" t="s">
        <v>46</v>
      </c>
    </row>
    <row r="20" spans="1:36" x14ac:dyDescent="0.2">
      <c r="A20" s="2">
        <v>310837138</v>
      </c>
      <c r="B20" s="3" t="d">
        <v>2020-07-10</v>
      </c>
      <c r="C20" s="3" t="d">
        <v>2021-07-31</v>
      </c>
      <c r="D20" s="2" t="s">
        <v>45</v>
      </c>
      <c r="E20" s="4">
        <v>707825</v>
      </c>
      <c r="F20" s="5">
        <v>678165</v>
      </c>
      <c r="G20" s="5">
        <v>181872</v>
      </c>
      <c r="H20" s="5">
        <v>496293</v>
      </c>
      <c r="I20" s="5">
        <v>7800</v>
      </c>
      <c r="J20" s="4">
        <v>670365</v>
      </c>
      <c r="K20" s="8" t="s">
        <v>37</v>
      </c>
      <c r="L20" s="8" t="s">
        <v>37</v>
      </c>
      <c r="M20" s="8" t="s">
        <v>37</v>
      </c>
      <c r="N20" s="8" t="s">
        <v>37</v>
      </c>
      <c r="O20" s="1" t="s">
        <v>37</v>
      </c>
      <c r="P20" s="5">
        <v>33908.25</v>
      </c>
      <c r="Q20" s="5">
        <v>9094.25</v>
      </c>
      <c r="R20" s="5">
        <v>24814</v>
      </c>
      <c r="S20" s="2" t="s">
        <v>37</v>
      </c>
      <c r="T20" s="4">
        <v>33908.25</v>
      </c>
      <c r="U20" s="5">
        <v>3843.5</v>
      </c>
      <c r="V20" s="5">
        <v>3843.5</v>
      </c>
      <c r="W20" s="2" t="s">
        <v>37</v>
      </c>
      <c r="X20" s="2" t="s">
        <v>37</v>
      </c>
      <c r="Y20" s="4">
        <v>3843.5</v>
      </c>
      <c r="Z20" s="5">
        <v>56513.75</v>
      </c>
      <c r="AA20" s="5">
        <v>15156</v>
      </c>
      <c r="AB20" s="5">
        <v>41357.75</v>
      </c>
      <c r="AC20" s="5">
        <v>41356</v>
      </c>
      <c r="AD20" s="4">
        <v>15157.75</v>
      </c>
      <c r="AE20" s="2" t="s">
        <v>37</v>
      </c>
      <c r="AF20" s="2" t="s">
        <v>37</v>
      </c>
      <c r="AG20" s="2" t="s">
        <v>37</v>
      </c>
      <c r="AH20" s="2" t="s">
        <v>37</v>
      </c>
      <c r="AI20" s="1" t="s">
        <v>37</v>
      </c>
    </row>
    <row r="21" spans="1:36" x14ac:dyDescent="0.2">
      <c r="A21" s="2"/>
      <c r="B21" s="2"/>
      <c r="C21" s="2"/>
      <c r="D21" s="2"/>
      <c r="E21" s="4">
        <v>14984648</v>
      </c>
      <c r="F21" s="2"/>
      <c r="G21" s="2"/>
      <c r="H21" s="2"/>
      <c r="I21" s="2"/>
      <c r="J21" s="4">
        <f>SUM(J2:J20)</f>
        <v>13673118.289999999</v>
      </c>
      <c r="K21" s="8"/>
      <c r="L21" s="8"/>
      <c r="M21" s="8"/>
      <c r="N21" s="8"/>
      <c r="O21" s="4">
        <f>SUM(O2:O20)</f>
        <v>1834517.9999999998</v>
      </c>
      <c r="P21" s="2"/>
      <c r="Q21" s="2"/>
      <c r="R21" s="2"/>
      <c r="S21" s="2"/>
      <c r="T21" s="4">
        <f>SUM(T2:T20)</f>
        <v>1046372.3300000001</v>
      </c>
      <c r="U21" s="2"/>
      <c r="V21" s="2"/>
      <c r="W21" s="2"/>
      <c r="X21" s="2"/>
      <c r="Y21" s="4">
        <f>SUM(Y2:Y20)</f>
        <v>120834.68</v>
      </c>
      <c r="Z21" s="2"/>
      <c r="AA21" s="2"/>
      <c r="AB21" s="2"/>
      <c r="AC21" s="2"/>
      <c r="AD21" s="4">
        <f>SUM(AD2:AD20)</f>
        <v>870778.24</v>
      </c>
      <c r="AE21" s="2"/>
      <c r="AF21" s="2"/>
      <c r="AG21" s="2"/>
      <c r="AH21" s="2"/>
      <c r="AI21" s="4">
        <f>SUM(AI2:AI20)</f>
        <v>730217.94000000006</v>
      </c>
    </row>
  </sheetData>
  <pageMargins left="0.75" right="0.75" top="1" bottom="1" header="0.5" footer="0.5"/>
</worksheet>
</file>

<file path=docProps/app.xml><?xml version="1.0" encoding="utf-8"?>
<Properties xmlns="http://purl.oclc.org/ooxml/officeDocument/extendedProperties" xmlns:vt="http://purl.oclc.org/ooxml/officeDocument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confectionery_conversion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2020-11-20T19:03:05Z</dcterms:created>
  <dcterms:modified xsi:type="dcterms:W3CDTF">2020-11-21T03:18:30Z</dcterms:modified>
</cp:coreProperties>
</file>