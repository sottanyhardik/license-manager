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PycharmProjects/lmanagement/"/>
    </mc:Choice>
  </mc:AlternateContent>
  <xr:revisionPtr revIDLastSave="0" documentId="13_ncr:40009_{1385433F-C8E9-EB41-8F29-895401CC2C99}" xr6:coauthVersionLast="45" xr6:coauthVersionMax="45" xr10:uidLastSave="{00000000-0000-0000-0000-000000000000}"/>
  <bookViews>
    <workbookView xWindow="380" yWindow="460" windowWidth="28040" windowHeight="16420"/>
  </bookViews>
  <sheets>
    <sheet name="biscuit_conversion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BG25" i="1" l="1"/>
  <c r="BB25" i="1"/>
  <c r="AW25" i="1"/>
  <c r="AR25" i="1"/>
  <c r="AM25" i="1"/>
  <c r="AH25" i="1"/>
  <c r="AC25" i="1"/>
  <c r="X25" i="1"/>
  <c r="S25" i="1"/>
  <c r="N25" i="1"/>
  <c r="G24" i="1"/>
  <c r="AD24" i="1" s="1"/>
  <c r="G22" i="1"/>
  <c r="G20" i="1"/>
  <c r="AN20" i="1" s="1"/>
  <c r="G18" i="1"/>
  <c r="T18" i="1" s="1"/>
  <c r="G16" i="1"/>
  <c r="AS16" i="1" s="1"/>
  <c r="G14" i="1"/>
  <c r="T14" i="1" s="1"/>
  <c r="G12" i="1"/>
  <c r="AN12" i="1" s="1"/>
  <c r="G10" i="1"/>
  <c r="AI10" i="1" s="1"/>
  <c r="G8" i="1"/>
  <c r="AD8" i="1" s="1"/>
  <c r="G6" i="1"/>
  <c r="AZ24" i="1"/>
  <c r="AY24" i="1"/>
  <c r="AU24" i="1"/>
  <c r="AT24" i="1"/>
  <c r="AP24" i="1"/>
  <c r="AO24" i="1"/>
  <c r="AK24" i="1"/>
  <c r="AJ24" i="1"/>
  <c r="AF24" i="1"/>
  <c r="AE24" i="1"/>
  <c r="AA24" i="1"/>
  <c r="Z24" i="1"/>
  <c r="Y24" i="1"/>
  <c r="V24" i="1"/>
  <c r="U24" i="1"/>
  <c r="Q24" i="1"/>
  <c r="P24" i="1"/>
  <c r="O24" i="1"/>
  <c r="L24" i="1"/>
  <c r="K24" i="1"/>
  <c r="AN24" i="1"/>
  <c r="AZ22" i="1"/>
  <c r="AY22" i="1"/>
  <c r="AU22" i="1"/>
  <c r="AT22" i="1"/>
  <c r="AP22" i="1"/>
  <c r="AO22" i="1"/>
  <c r="AK22" i="1"/>
  <c r="AJ22" i="1"/>
  <c r="AF22" i="1"/>
  <c r="AE22" i="1"/>
  <c r="AA22" i="1"/>
  <c r="Z22" i="1"/>
  <c r="V22" i="1"/>
  <c r="U22" i="1"/>
  <c r="Q22" i="1"/>
  <c r="P22" i="1"/>
  <c r="L22" i="1"/>
  <c r="K22" i="1"/>
  <c r="T22" i="1"/>
  <c r="AZ20" i="1"/>
  <c r="AY20" i="1"/>
  <c r="AU20" i="1"/>
  <c r="AT20" i="1"/>
  <c r="AP20" i="1"/>
  <c r="AO20" i="1"/>
  <c r="AK20" i="1"/>
  <c r="AJ20" i="1"/>
  <c r="AF20" i="1"/>
  <c r="AE20" i="1"/>
  <c r="AA20" i="1"/>
  <c r="Z20" i="1"/>
  <c r="Y20" i="1"/>
  <c r="V20" i="1"/>
  <c r="U20" i="1"/>
  <c r="Q20" i="1"/>
  <c r="P20" i="1"/>
  <c r="O20" i="1"/>
  <c r="L20" i="1"/>
  <c r="K20" i="1"/>
  <c r="J20" i="1"/>
  <c r="AZ18" i="1"/>
  <c r="AY18" i="1"/>
  <c r="AU18" i="1"/>
  <c r="AT18" i="1"/>
  <c r="AP18" i="1"/>
  <c r="AO18" i="1"/>
  <c r="AK18" i="1"/>
  <c r="AJ18" i="1"/>
  <c r="AF18" i="1"/>
  <c r="AE18" i="1"/>
  <c r="AA18" i="1"/>
  <c r="Z18" i="1"/>
  <c r="V18" i="1"/>
  <c r="U18" i="1"/>
  <c r="Q18" i="1"/>
  <c r="P18" i="1"/>
  <c r="L18" i="1"/>
  <c r="K18" i="1"/>
  <c r="AZ16" i="1"/>
  <c r="AY16" i="1"/>
  <c r="AU16" i="1"/>
  <c r="AT16" i="1"/>
  <c r="AP16" i="1"/>
  <c r="AO16" i="1"/>
  <c r="AK16" i="1"/>
  <c r="AJ16" i="1"/>
  <c r="AF16" i="1"/>
  <c r="AE16" i="1"/>
  <c r="AA16" i="1"/>
  <c r="Z16" i="1"/>
  <c r="V16" i="1"/>
  <c r="U16" i="1"/>
  <c r="Q16" i="1"/>
  <c r="P16" i="1"/>
  <c r="L16" i="1"/>
  <c r="K16" i="1"/>
  <c r="J16" i="1"/>
  <c r="AZ14" i="1"/>
  <c r="AY14" i="1"/>
  <c r="AU14" i="1"/>
  <c r="AT14" i="1"/>
  <c r="AP14" i="1"/>
  <c r="AO14" i="1"/>
  <c r="AK14" i="1"/>
  <c r="AJ14" i="1"/>
  <c r="AF14" i="1"/>
  <c r="AE14" i="1"/>
  <c r="AA14" i="1"/>
  <c r="Z14" i="1"/>
  <c r="V14" i="1"/>
  <c r="U14" i="1"/>
  <c r="Q14" i="1"/>
  <c r="P14" i="1"/>
  <c r="L14" i="1"/>
  <c r="K14" i="1"/>
  <c r="AZ12" i="1"/>
  <c r="AY12" i="1"/>
  <c r="AU12" i="1"/>
  <c r="AT12" i="1"/>
  <c r="AP12" i="1"/>
  <c r="AO12" i="1"/>
  <c r="AK12" i="1"/>
  <c r="AJ12" i="1"/>
  <c r="AF12" i="1"/>
  <c r="AE12" i="1"/>
  <c r="AA12" i="1"/>
  <c r="Z12" i="1"/>
  <c r="V12" i="1"/>
  <c r="U12" i="1"/>
  <c r="Q12" i="1"/>
  <c r="P12" i="1"/>
  <c r="L12" i="1"/>
  <c r="K12" i="1"/>
  <c r="AZ10" i="1"/>
  <c r="AY10" i="1"/>
  <c r="AU10" i="1"/>
  <c r="AT10" i="1"/>
  <c r="AP10" i="1"/>
  <c r="AO10" i="1"/>
  <c r="AK10" i="1"/>
  <c r="AJ10" i="1"/>
  <c r="AF10" i="1"/>
  <c r="AE10" i="1"/>
  <c r="AA10" i="1"/>
  <c r="Z10" i="1"/>
  <c r="V10" i="1"/>
  <c r="U10" i="1"/>
  <c r="Q10" i="1"/>
  <c r="P10" i="1"/>
  <c r="L10" i="1"/>
  <c r="K10" i="1"/>
  <c r="AZ8" i="1"/>
  <c r="AY8" i="1"/>
  <c r="AU8" i="1"/>
  <c r="AT8" i="1"/>
  <c r="AP8" i="1"/>
  <c r="AO8" i="1"/>
  <c r="AK8" i="1"/>
  <c r="AJ8" i="1"/>
  <c r="AF8" i="1"/>
  <c r="AE8" i="1"/>
  <c r="AA8" i="1"/>
  <c r="Z8" i="1"/>
  <c r="V8" i="1"/>
  <c r="U8" i="1"/>
  <c r="Q8" i="1"/>
  <c r="P8" i="1"/>
  <c r="O8" i="1"/>
  <c r="L8" i="1"/>
  <c r="K8" i="1"/>
  <c r="AN8" i="1"/>
  <c r="AZ6" i="1"/>
  <c r="AY6" i="1"/>
  <c r="AU6" i="1"/>
  <c r="AT6" i="1"/>
  <c r="AP6" i="1"/>
  <c r="AO6" i="1"/>
  <c r="AK6" i="1"/>
  <c r="AJ6" i="1"/>
  <c r="AF6" i="1"/>
  <c r="AE6" i="1"/>
  <c r="AA6" i="1"/>
  <c r="Z6" i="1"/>
  <c r="V6" i="1"/>
  <c r="U6" i="1"/>
  <c r="Q6" i="1"/>
  <c r="P6" i="1"/>
  <c r="L6" i="1"/>
  <c r="K6" i="1"/>
  <c r="T6" i="1"/>
  <c r="AZ4" i="1"/>
  <c r="AY4" i="1"/>
  <c r="AU4" i="1"/>
  <c r="AT4" i="1"/>
  <c r="AP4" i="1"/>
  <c r="AO4" i="1"/>
  <c r="AK4" i="1"/>
  <c r="AJ4" i="1"/>
  <c r="AF4" i="1"/>
  <c r="AE4" i="1"/>
  <c r="AA4" i="1"/>
  <c r="Z4" i="1"/>
  <c r="V4" i="1"/>
  <c r="U4" i="1"/>
  <c r="Q4" i="1"/>
  <c r="P4" i="1"/>
  <c r="L4" i="1"/>
  <c r="K4" i="1"/>
  <c r="G4" i="1"/>
  <c r="J4" i="1" s="1"/>
  <c r="AX4" i="1" l="1"/>
  <c r="Y4" i="1"/>
  <c r="AD16" i="1"/>
  <c r="AN4" i="1"/>
  <c r="O4" i="1"/>
  <c r="O16" i="1"/>
  <c r="AS4" i="1"/>
  <c r="T4" i="1"/>
  <c r="AD4" i="1"/>
  <c r="AI4" i="1"/>
  <c r="AN16" i="1"/>
  <c r="Y8" i="1"/>
  <c r="AS8" i="1"/>
  <c r="T10" i="1"/>
  <c r="AD20" i="1"/>
  <c r="Y16" i="1"/>
  <c r="AS12" i="1"/>
  <c r="Y12" i="1"/>
  <c r="O12" i="1"/>
  <c r="AD12" i="1"/>
  <c r="AI14" i="1"/>
  <c r="AI22" i="1"/>
  <c r="J10" i="1"/>
  <c r="AX10" i="1"/>
  <c r="J14" i="1"/>
  <c r="AX14" i="1"/>
  <c r="J18" i="1"/>
  <c r="AX18" i="1"/>
  <c r="J22" i="1"/>
  <c r="AX22" i="1"/>
  <c r="AI6" i="1"/>
  <c r="AX6" i="1"/>
  <c r="Y10" i="1"/>
  <c r="Y14" i="1"/>
  <c r="Y18" i="1"/>
  <c r="AS20" i="1"/>
  <c r="Y22" i="1"/>
  <c r="AS24" i="1"/>
  <c r="AI18" i="1"/>
  <c r="AN6" i="1"/>
  <c r="T8" i="1"/>
  <c r="AN10" i="1"/>
  <c r="T12" i="1"/>
  <c r="AN14" i="1"/>
  <c r="T16" i="1"/>
  <c r="AN18" i="1"/>
  <c r="T20" i="1"/>
  <c r="AN22" i="1"/>
  <c r="T24" i="1"/>
  <c r="J6" i="1"/>
  <c r="O6" i="1"/>
  <c r="AI8" i="1"/>
  <c r="O10" i="1"/>
  <c r="AI12" i="1"/>
  <c r="O14" i="1"/>
  <c r="AI16" i="1"/>
  <c r="O18" i="1"/>
  <c r="AI20" i="1"/>
  <c r="O22" i="1"/>
  <c r="AI24" i="1"/>
  <c r="Y6" i="1"/>
  <c r="AD6" i="1"/>
  <c r="J8" i="1"/>
  <c r="AX8" i="1"/>
  <c r="AD10" i="1"/>
  <c r="J12" i="1"/>
  <c r="AX12" i="1"/>
  <c r="AD14" i="1"/>
  <c r="AX16" i="1"/>
  <c r="AD18" i="1"/>
  <c r="AX20" i="1"/>
  <c r="AD22" i="1"/>
  <c r="J24" i="1"/>
  <c r="AX24" i="1"/>
  <c r="AS6" i="1"/>
  <c r="AS10" i="1"/>
  <c r="AS14" i="1"/>
  <c r="AS18" i="1"/>
  <c r="AS22" i="1"/>
  <c r="A9" i="1" l="1"/>
  <c r="A11" i="1" s="1"/>
  <c r="A13" i="1" s="1"/>
  <c r="A15" i="1" s="1"/>
  <c r="A17" i="1" s="1"/>
  <c r="A19" i="1" s="1"/>
  <c r="A21" i="1" s="1"/>
  <c r="A23" i="1" s="1"/>
  <c r="A5" i="1"/>
</calcChain>
</file>

<file path=xl/sharedStrings.xml><?xml version="1.0" encoding="utf-8"?>
<sst xmlns="http://purl.oclc.org/ooxml/spreadsheetml/main" count="67" uniqueCount="63">
  <si>
    <t>dfia</t>
  </si>
  <si>
    <t>dfia_dt</t>
  </si>
  <si>
    <t>dfia_exp</t>
  </si>
  <si>
    <t>exporter</t>
  </si>
  <si>
    <t>balance_cif</t>
  </si>
  <si>
    <t>wheat_total</t>
  </si>
  <si>
    <t>wheat_new</t>
  </si>
  <si>
    <t>wheat_old</t>
  </si>
  <si>
    <t>wheat_debited_quantity</t>
  </si>
  <si>
    <t>wheat_bal</t>
  </si>
  <si>
    <t>sugar_total</t>
  </si>
  <si>
    <t>sugar_new</t>
  </si>
  <si>
    <t>sugar_old</t>
  </si>
  <si>
    <t>sugar_debited_quantity</t>
  </si>
  <si>
    <t>sugar_bal</t>
  </si>
  <si>
    <t>palmolein_total</t>
  </si>
  <si>
    <t>palmolein_new</t>
  </si>
  <si>
    <t>palmolein_old</t>
  </si>
  <si>
    <t>palmolein_debited_quantity</t>
  </si>
  <si>
    <t>palmolein_bal</t>
  </si>
  <si>
    <t>leavening_total</t>
  </si>
  <si>
    <t>leavening_new</t>
  </si>
  <si>
    <t>leavening_old</t>
  </si>
  <si>
    <t>leavening_debited_quantity</t>
  </si>
  <si>
    <t>leavening_bal</t>
  </si>
  <si>
    <t>flavour_total</t>
  </si>
  <si>
    <t>flavour_new</t>
  </si>
  <si>
    <t>flavour_old</t>
  </si>
  <si>
    <t>flavour_debited_quantity</t>
  </si>
  <si>
    <t>flavour_bal</t>
  </si>
  <si>
    <t>starch_total</t>
  </si>
  <si>
    <t>starch_new</t>
  </si>
  <si>
    <t>starch_old</t>
  </si>
  <si>
    <t>starch_debited_quantity</t>
  </si>
  <si>
    <t>starch_bal</t>
  </si>
  <si>
    <t>dietary_total</t>
  </si>
  <si>
    <t>dietary_new</t>
  </si>
  <si>
    <t>dietary_old</t>
  </si>
  <si>
    <t>dietary_debited_quantity</t>
  </si>
  <si>
    <t>dietary_bal</t>
  </si>
  <si>
    <t>milk_total</t>
  </si>
  <si>
    <t>milk_new</t>
  </si>
  <si>
    <t>milk_old</t>
  </si>
  <si>
    <t>milk_debited_quantity</t>
  </si>
  <si>
    <t>milk_bal</t>
  </si>
  <si>
    <t>fruit_total</t>
  </si>
  <si>
    <t>fruit_new</t>
  </si>
  <si>
    <t>fruit_old</t>
  </si>
  <si>
    <t>fruit_debited_quantity</t>
  </si>
  <si>
    <t>fruit_bal</t>
  </si>
  <si>
    <t>pp_total</t>
  </si>
  <si>
    <t>pp_new</t>
  </si>
  <si>
    <t>pp_old</t>
  </si>
  <si>
    <t>pp_debited_quantity</t>
  </si>
  <si>
    <t>pp_bal</t>
  </si>
  <si>
    <t xml:space="preserve">PARLE PRODUCTS PVT. </t>
  </si>
  <si>
    <t>RANI INTERNATIONAL</t>
  </si>
  <si>
    <t>RAMA EXPORTS</t>
  </si>
  <si>
    <t>V A GLOBAL BUSINESS</t>
  </si>
  <si>
    <t xml:space="preserve">VIPUL KUMAR TRADING </t>
  </si>
  <si>
    <t xml:space="preserve">KRISH FOOD INDUSTRY </t>
  </si>
  <si>
    <t>R K Bakewell Mars Pv</t>
  </si>
  <si>
    <t>sr_no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</si>
</sst>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3" fontId="16" fillId="33" borderId="10" xfId="1" applyFont="1" applyFill="1" applyBorder="1"/>
    <xf numFmtId="43" fontId="0" fillId="33" borderId="10" xfId="1" applyFont="1" applyFill="1" applyBorder="1"/>
    <xf numFmtId="0" fontId="0" fillId="0" borderId="0" xfId="0" applyFill="1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  <xf numFmtId="14" fontId="0" fillId="33" borderId="10" xfId="0" applyNumberFormat="1" applyFill="1" applyBorder="1"/>
    <xf numFmtId="43" fontId="0" fillId="0" borderId="10" xfId="1" applyFont="1" applyBorder="1"/>
    <xf numFmtId="43" fontId="16" fillId="0" borderId="10" xfId="1" applyFont="1" applyBorder="1"/>
    <xf numFmtId="0" fontId="16" fillId="0" borderId="10" xfId="0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G25"/>
  <sheetViews>
    <sheetView tabSelected="1" workbookViewId="0">
      <selection activeCell="A2" sqref="A2:BG2"/>
    </sheetView>
  </sheetViews>
  <sheetFormatPr baseColWidth="10" defaultRowHeight="16" x14ac:dyDescent="0.2"/>
  <cols>
    <col min="1" max="1" width="5.6640625" bestFit="1" customWidth="1"/>
    <col min="2" max="2" width="10.1640625" bestFit="1" customWidth="1"/>
    <col min="3" max="4" width="8.83203125" bestFit="1" customWidth="1"/>
    <col min="5" max="5" width="21.83203125" bestFit="1" customWidth="1"/>
    <col min="6" max="12" width="13" bestFit="1" customWidth="1"/>
    <col min="13" max="13" width="22.83203125" bestFit="1" customWidth="1"/>
    <col min="14" max="14" width="14.5" bestFit="1" customWidth="1"/>
    <col min="15" max="15" width="13" bestFit="1" customWidth="1"/>
    <col min="16" max="16" width="12" bestFit="1" customWidth="1"/>
    <col min="17" max="17" width="13" bestFit="1" customWidth="1"/>
    <col min="18" max="18" width="22.1640625" bestFit="1" customWidth="1"/>
    <col min="19" max="19" width="13" bestFit="1" customWidth="1"/>
    <col min="20" max="20" width="15.5" bestFit="1" customWidth="1"/>
    <col min="21" max="21" width="15.1640625" bestFit="1" customWidth="1"/>
    <col min="22" max="22" width="14.1640625" bestFit="1" customWidth="1"/>
    <col min="23" max="23" width="25.83203125" bestFit="1" customWidth="1"/>
    <col min="24" max="24" width="14.1640625" bestFit="1" customWidth="1"/>
    <col min="25" max="25" width="15.1640625" bestFit="1" customWidth="1"/>
    <col min="26" max="26" width="14.83203125" bestFit="1" customWidth="1"/>
    <col min="27" max="27" width="13.83203125" bestFit="1" customWidth="1"/>
    <col min="28" max="28" width="25.5" bestFit="1" customWidth="1"/>
    <col min="29" max="29" width="13.83203125" bestFit="1" customWidth="1"/>
    <col min="30" max="30" width="13" bestFit="1" customWidth="1"/>
    <col min="31" max="31" width="12.6640625" bestFit="1" customWidth="1"/>
    <col min="32" max="32" width="12" bestFit="1" customWidth="1"/>
    <col min="33" max="33" width="23.33203125" bestFit="1" customWidth="1"/>
    <col min="34" max="34" width="12" bestFit="1" customWidth="1"/>
    <col min="35" max="35" width="12.33203125" bestFit="1" customWidth="1"/>
    <col min="36" max="36" width="12" bestFit="1" customWidth="1"/>
    <col min="37" max="37" width="11" bestFit="1" customWidth="1"/>
    <col min="38" max="38" width="22.6640625" bestFit="1" customWidth="1"/>
    <col min="39" max="39" width="11" bestFit="1" customWidth="1"/>
    <col min="40" max="40" width="13" bestFit="1" customWidth="1"/>
    <col min="41" max="41" width="12.6640625" bestFit="1" customWidth="1"/>
    <col min="42" max="42" width="12" bestFit="1" customWidth="1"/>
    <col min="43" max="43" width="23.33203125" bestFit="1" customWidth="1"/>
    <col min="44" max="47" width="12" bestFit="1" customWidth="1"/>
    <col min="48" max="48" width="21" bestFit="1" customWidth="1"/>
    <col min="49" max="49" width="13" bestFit="1" customWidth="1"/>
    <col min="50" max="50" width="10.83203125" bestFit="1" customWidth="1"/>
    <col min="51" max="52" width="10.5" bestFit="1" customWidth="1"/>
    <col min="53" max="53" width="21" bestFit="1" customWidth="1"/>
    <col min="54" max="54" width="12" bestFit="1" customWidth="1"/>
    <col min="55" max="55" width="13" bestFit="1" customWidth="1"/>
    <col min="56" max="57" width="12" bestFit="1" customWidth="1"/>
    <col min="58" max="58" width="19.5" bestFit="1" customWidth="1"/>
    <col min="59" max="59" width="13" bestFit="1" customWidth="1"/>
    <col min="60" max="16384" width="10.83203125" style="3"/>
  </cols>
  <sheetData>
    <row r="1" spans="1:59" x14ac:dyDescent="0.2">
      <c r="A1" s="4"/>
      <c r="B1" s="4"/>
      <c r="C1" s="4"/>
      <c r="D1" s="4"/>
      <c r="E1" s="4"/>
      <c r="F1" s="8"/>
      <c r="G1" s="8"/>
      <c r="H1" s="8"/>
      <c r="I1" s="8"/>
      <c r="J1" s="8">
        <v>0.48</v>
      </c>
      <c r="K1" s="8">
        <v>0.48</v>
      </c>
      <c r="L1" s="8">
        <v>0.48</v>
      </c>
      <c r="M1" s="8"/>
      <c r="N1" s="8"/>
      <c r="O1" s="8">
        <v>0.19</v>
      </c>
      <c r="P1" s="8">
        <v>0.19</v>
      </c>
      <c r="Q1" s="8">
        <v>0.19</v>
      </c>
      <c r="R1" s="8"/>
      <c r="S1" s="8"/>
      <c r="T1" s="8">
        <v>0.18</v>
      </c>
      <c r="U1" s="8">
        <v>0.18</v>
      </c>
      <c r="V1" s="8">
        <v>0.18</v>
      </c>
      <c r="W1" s="8"/>
      <c r="X1" s="8"/>
      <c r="Y1" s="8">
        <v>4.0000000000000001E-3</v>
      </c>
      <c r="Z1" s="8">
        <v>4.0000000000000001E-3</v>
      </c>
      <c r="AA1" s="8">
        <v>4.0000000000000001E-3</v>
      </c>
      <c r="AB1" s="8"/>
      <c r="AC1" s="8"/>
      <c r="AD1" s="8">
        <v>1.6E-2</v>
      </c>
      <c r="AE1" s="8">
        <v>1.6E-2</v>
      </c>
      <c r="AF1" s="8">
        <v>1.6E-2</v>
      </c>
      <c r="AG1" s="8"/>
      <c r="AH1" s="8"/>
      <c r="AI1" s="8">
        <v>5.0000000000000001E-3</v>
      </c>
      <c r="AJ1" s="8">
        <v>5.0000000000000001E-3</v>
      </c>
      <c r="AK1" s="8">
        <v>5.0000000000000001E-3</v>
      </c>
      <c r="AL1" s="8"/>
      <c r="AM1" s="8"/>
      <c r="AN1" s="8">
        <v>0.03</v>
      </c>
      <c r="AO1" s="8">
        <v>0.03</v>
      </c>
      <c r="AP1" s="8">
        <v>0.03</v>
      </c>
      <c r="AQ1" s="8"/>
      <c r="AR1" s="8"/>
      <c r="AS1" s="8">
        <v>7.0000000000000007E-2</v>
      </c>
      <c r="AT1" s="8">
        <v>7.0000000000000007E-2</v>
      </c>
      <c r="AU1" s="8">
        <v>7.0000000000000007E-2</v>
      </c>
      <c r="AV1" s="8"/>
      <c r="AW1" s="8"/>
      <c r="AX1" s="8">
        <v>8.9999999999999993E-3</v>
      </c>
      <c r="AY1" s="8">
        <v>8.9999999999999993E-3</v>
      </c>
      <c r="AZ1" s="8">
        <v>8.9999999999999993E-3</v>
      </c>
      <c r="BA1" s="8"/>
      <c r="BB1" s="8"/>
      <c r="BC1" s="8"/>
      <c r="BD1" s="8"/>
      <c r="BE1" s="8"/>
      <c r="BF1" s="8"/>
      <c r="BG1" s="8">
        <v>1</v>
      </c>
    </row>
    <row r="2" spans="1:59" x14ac:dyDescent="0.2">
      <c r="A2" s="10" t="s">
        <v>62</v>
      </c>
      <c r="B2" s="10" t="s">
        <v>0</v>
      </c>
      <c r="C2" s="10" t="s">
        <v>1</v>
      </c>
      <c r="D2" s="10" t="s">
        <v>2</v>
      </c>
      <c r="E2" s="10" t="s">
        <v>3</v>
      </c>
      <c r="F2" s="9" t="s">
        <v>4</v>
      </c>
      <c r="G2" s="9"/>
      <c r="H2" s="9"/>
      <c r="I2" s="9"/>
      <c r="J2" s="9" t="s">
        <v>5</v>
      </c>
      <c r="K2" s="9" t="s">
        <v>6</v>
      </c>
      <c r="L2" s="9" t="s">
        <v>7</v>
      </c>
      <c r="M2" s="9" t="s">
        <v>8</v>
      </c>
      <c r="N2" s="9" t="s">
        <v>9</v>
      </c>
      <c r="O2" s="9" t="s">
        <v>10</v>
      </c>
      <c r="P2" s="9" t="s">
        <v>11</v>
      </c>
      <c r="Q2" s="9" t="s">
        <v>12</v>
      </c>
      <c r="R2" s="9" t="s">
        <v>13</v>
      </c>
      <c r="S2" s="9" t="s">
        <v>14</v>
      </c>
      <c r="T2" s="9" t="s">
        <v>15</v>
      </c>
      <c r="U2" s="9" t="s">
        <v>16</v>
      </c>
      <c r="V2" s="9" t="s">
        <v>17</v>
      </c>
      <c r="W2" s="9" t="s">
        <v>18</v>
      </c>
      <c r="X2" s="9" t="s">
        <v>19</v>
      </c>
      <c r="Y2" s="9" t="s">
        <v>20</v>
      </c>
      <c r="Z2" s="9" t="s">
        <v>21</v>
      </c>
      <c r="AA2" s="9" t="s">
        <v>22</v>
      </c>
      <c r="AB2" s="9" t="s">
        <v>23</v>
      </c>
      <c r="AC2" s="9" t="s">
        <v>24</v>
      </c>
      <c r="AD2" s="9" t="s">
        <v>25</v>
      </c>
      <c r="AE2" s="9" t="s">
        <v>26</v>
      </c>
      <c r="AF2" s="9" t="s">
        <v>27</v>
      </c>
      <c r="AG2" s="9" t="s">
        <v>28</v>
      </c>
      <c r="AH2" s="9" t="s">
        <v>29</v>
      </c>
      <c r="AI2" s="9" t="s">
        <v>30</v>
      </c>
      <c r="AJ2" s="9" t="s">
        <v>31</v>
      </c>
      <c r="AK2" s="9" t="s">
        <v>32</v>
      </c>
      <c r="AL2" s="9" t="s">
        <v>33</v>
      </c>
      <c r="AM2" s="9" t="s">
        <v>34</v>
      </c>
      <c r="AN2" s="9" t="s">
        <v>35</v>
      </c>
      <c r="AO2" s="9" t="s">
        <v>36</v>
      </c>
      <c r="AP2" s="9" t="s">
        <v>37</v>
      </c>
      <c r="AQ2" s="9" t="s">
        <v>38</v>
      </c>
      <c r="AR2" s="9" t="s">
        <v>39</v>
      </c>
      <c r="AS2" s="9" t="s">
        <v>40</v>
      </c>
      <c r="AT2" s="9" t="s">
        <v>41</v>
      </c>
      <c r="AU2" s="9" t="s">
        <v>42</v>
      </c>
      <c r="AV2" s="9" t="s">
        <v>43</v>
      </c>
      <c r="AW2" s="9" t="s">
        <v>44</v>
      </c>
      <c r="AX2" s="9" t="s">
        <v>45</v>
      </c>
      <c r="AY2" s="9" t="s">
        <v>46</v>
      </c>
      <c r="AZ2" s="9" t="s">
        <v>47</v>
      </c>
      <c r="BA2" s="9" t="s">
        <v>48</v>
      </c>
      <c r="BB2" s="9" t="s">
        <v>49</v>
      </c>
      <c r="BC2" s="9" t="s">
        <v>50</v>
      </c>
      <c r="BD2" s="9" t="s">
        <v>51</v>
      </c>
      <c r="BE2" s="9" t="s">
        <v>52</v>
      </c>
      <c r="BF2" s="9" t="s">
        <v>53</v>
      </c>
      <c r="BG2" s="9" t="s">
        <v>54</v>
      </c>
    </row>
    <row r="3" spans="1:59" x14ac:dyDescent="0.2">
      <c r="A3" s="4">
        <v>1</v>
      </c>
      <c r="B3" s="4">
        <v>310832269</v>
      </c>
      <c r="C3" s="5" t="d">
        <v>2019-10-17</v>
      </c>
      <c r="D3" s="5" t="d">
        <v>2020-10-31</v>
      </c>
      <c r="E3" s="4" t="s">
        <v>55</v>
      </c>
      <c r="F3" s="8">
        <v>0</v>
      </c>
      <c r="G3" s="8"/>
      <c r="H3" s="8"/>
      <c r="I3" s="8"/>
      <c r="J3" s="8">
        <v>4582901.852</v>
      </c>
      <c r="K3" s="8">
        <v>1087345.852</v>
      </c>
      <c r="L3" s="8">
        <v>3495556</v>
      </c>
      <c r="M3" s="8">
        <v>3594556</v>
      </c>
      <c r="N3" s="8">
        <v>988345.85199999996</v>
      </c>
      <c r="O3" s="8">
        <v>1814065.321</v>
      </c>
      <c r="P3" s="8">
        <v>430396.321</v>
      </c>
      <c r="Q3" s="8">
        <v>1383669</v>
      </c>
      <c r="R3" s="8">
        <v>1814065</v>
      </c>
      <c r="S3" s="8">
        <v>0.32099999999627399</v>
      </c>
      <c r="T3" s="8">
        <v>1718588.1880000001</v>
      </c>
      <c r="U3" s="8">
        <v>407755.18800000002</v>
      </c>
      <c r="V3" s="8">
        <v>1310833</v>
      </c>
      <c r="W3" s="8">
        <v>1718588</v>
      </c>
      <c r="X3" s="8">
        <v>0.188000000081956</v>
      </c>
      <c r="Y3" s="8">
        <v>38190.847000000002</v>
      </c>
      <c r="Z3" s="8">
        <v>9056.8469999999998</v>
      </c>
      <c r="AA3" s="8">
        <v>29134</v>
      </c>
      <c r="AB3" s="8">
        <v>29130</v>
      </c>
      <c r="AC3" s="8">
        <v>9060.8469999999998</v>
      </c>
      <c r="AD3" s="8">
        <v>152763.386</v>
      </c>
      <c r="AE3" s="8">
        <v>36298.385999999999</v>
      </c>
      <c r="AF3" s="8">
        <v>116465</v>
      </c>
      <c r="AG3" s="8">
        <v>116427</v>
      </c>
      <c r="AH3" s="8">
        <v>36336.385999999999</v>
      </c>
      <c r="AI3" s="8">
        <v>47738.563000000002</v>
      </c>
      <c r="AJ3" s="8">
        <v>11320.563</v>
      </c>
      <c r="AK3" s="8">
        <v>36418</v>
      </c>
      <c r="AL3" s="8">
        <v>36343</v>
      </c>
      <c r="AM3" s="8">
        <v>11395.563</v>
      </c>
      <c r="AN3" s="8">
        <v>286431.36200000002</v>
      </c>
      <c r="AO3" s="8">
        <v>67174.361999999994</v>
      </c>
      <c r="AP3" s="8">
        <v>219257</v>
      </c>
      <c r="AQ3" s="8">
        <v>219256</v>
      </c>
      <c r="AR3" s="8">
        <v>67175.361999999994</v>
      </c>
      <c r="AS3" s="8">
        <v>668339.848</v>
      </c>
      <c r="AT3" s="8">
        <v>158486.848</v>
      </c>
      <c r="AU3" s="8">
        <v>509853</v>
      </c>
      <c r="AV3" s="8">
        <v>668340</v>
      </c>
      <c r="AW3" s="8">
        <v>-0.15200000000186201</v>
      </c>
      <c r="AX3" s="8">
        <v>85929.409</v>
      </c>
      <c r="AY3" s="8">
        <v>20377.409</v>
      </c>
      <c r="AZ3" s="8">
        <v>65552</v>
      </c>
      <c r="BA3" s="8">
        <v>65550</v>
      </c>
      <c r="BB3" s="8">
        <v>20379.409</v>
      </c>
      <c r="BC3" s="8">
        <v>1096720.4040000001</v>
      </c>
      <c r="BD3" s="8">
        <v>259296.40400000001</v>
      </c>
      <c r="BE3" s="8">
        <v>837424</v>
      </c>
      <c r="BF3" s="8">
        <v>986784</v>
      </c>
      <c r="BG3" s="8">
        <v>109936.40399999999</v>
      </c>
    </row>
    <row r="4" spans="1:59" x14ac:dyDescent="0.2">
      <c r="A4" s="6"/>
      <c r="B4" s="6"/>
      <c r="C4" s="7"/>
      <c r="D4" s="7"/>
      <c r="E4" s="6"/>
      <c r="F4" s="2"/>
      <c r="G4" s="1">
        <f>H4+I4</f>
        <v>9547711</v>
      </c>
      <c r="H4" s="1">
        <v>2264088</v>
      </c>
      <c r="I4" s="1">
        <v>7283623</v>
      </c>
      <c r="J4" s="2">
        <f>J$1*$G4</f>
        <v>4582901.28</v>
      </c>
      <c r="K4" s="2">
        <f>K$1*$H4</f>
        <v>1086762.24</v>
      </c>
      <c r="L4" s="2">
        <f>L$1*$I4</f>
        <v>3496139.04</v>
      </c>
      <c r="M4" s="2"/>
      <c r="N4" s="1"/>
      <c r="O4" s="2">
        <f>O$1*$G4</f>
        <v>1814065.09</v>
      </c>
      <c r="P4" s="2">
        <f>P$1*$H4</f>
        <v>430176.72000000003</v>
      </c>
      <c r="Q4" s="2">
        <f>Q$1*$I4</f>
        <v>1383888.37</v>
      </c>
      <c r="R4" s="2"/>
      <c r="S4" s="1"/>
      <c r="T4" s="2">
        <f>T$1*$G4</f>
        <v>1718587.98</v>
      </c>
      <c r="U4" s="2">
        <f>U$1*$H4</f>
        <v>407535.83999999997</v>
      </c>
      <c r="V4" s="2">
        <f>V$1*$I4</f>
        <v>1311052.1399999999</v>
      </c>
      <c r="W4" s="2"/>
      <c r="X4" s="1"/>
      <c r="Y4" s="2">
        <f>Y$1*$G4</f>
        <v>38190.843999999997</v>
      </c>
      <c r="Z4" s="2">
        <f>Z$1*$H4</f>
        <v>9056.3520000000008</v>
      </c>
      <c r="AA4" s="2">
        <f>AA$1*$I4</f>
        <v>29134.492000000002</v>
      </c>
      <c r="AB4" s="2"/>
      <c r="AC4" s="1"/>
      <c r="AD4" s="2">
        <f>AD$1*$G4</f>
        <v>152763.37599999999</v>
      </c>
      <c r="AE4" s="2">
        <f>AE$1*$H4</f>
        <v>36225.408000000003</v>
      </c>
      <c r="AF4" s="2">
        <f>AF$1*$I4</f>
        <v>116537.96800000001</v>
      </c>
      <c r="AG4" s="2"/>
      <c r="AH4" s="2"/>
      <c r="AI4" s="2">
        <f>AI$1*$G4</f>
        <v>47738.555</v>
      </c>
      <c r="AJ4" s="2">
        <f>AJ$1*$H4</f>
        <v>11320.44</v>
      </c>
      <c r="AK4" s="2">
        <f>AK$1*$I4</f>
        <v>36418.114999999998</v>
      </c>
      <c r="AL4" s="2"/>
      <c r="AM4" s="2"/>
      <c r="AN4" s="2">
        <f>AN$1*$G4</f>
        <v>286431.33</v>
      </c>
      <c r="AO4" s="2">
        <f>AO$1*$H4</f>
        <v>67922.64</v>
      </c>
      <c r="AP4" s="2">
        <f>AP$1*$I4</f>
        <v>218508.69</v>
      </c>
      <c r="AQ4" s="2"/>
      <c r="AR4" s="2"/>
      <c r="AS4" s="2">
        <f>AS$1*$G4</f>
        <v>668339.77</v>
      </c>
      <c r="AT4" s="2">
        <f>AT$1*$H4</f>
        <v>158486.16</v>
      </c>
      <c r="AU4" s="2">
        <f>AU$1*$I4</f>
        <v>509853.61000000004</v>
      </c>
      <c r="AV4" s="2"/>
      <c r="AW4" s="2"/>
      <c r="AX4" s="2">
        <f>AX$1*$G4</f>
        <v>85929.39899999999</v>
      </c>
      <c r="AY4" s="2">
        <f>AY$1*$H4</f>
        <v>20376.791999999998</v>
      </c>
      <c r="AZ4" s="2">
        <f>AZ$1*$I4</f>
        <v>65552.606999999989</v>
      </c>
      <c r="BA4" s="2"/>
      <c r="BB4" s="2"/>
      <c r="BC4" s="2"/>
      <c r="BD4" s="2"/>
      <c r="BE4" s="2"/>
      <c r="BF4" s="2"/>
      <c r="BG4" s="2"/>
    </row>
    <row r="5" spans="1:59" x14ac:dyDescent="0.2">
      <c r="A5" s="4">
        <f>A3+1</f>
        <v>2</v>
      </c>
      <c r="B5" s="4">
        <v>310832494</v>
      </c>
      <c r="C5" s="5" t="d">
        <v>2019-10-30</v>
      </c>
      <c r="D5" s="5" t="d">
        <v>2020-10-31</v>
      </c>
      <c r="E5" s="4" t="s">
        <v>55</v>
      </c>
      <c r="F5" s="8">
        <v>444358</v>
      </c>
      <c r="G5" s="8"/>
      <c r="H5" s="8"/>
      <c r="I5" s="8"/>
      <c r="J5" s="8">
        <v>2064135.1459999999</v>
      </c>
      <c r="K5" s="8">
        <v>1062394.1459999999</v>
      </c>
      <c r="L5" s="8">
        <v>1001741</v>
      </c>
      <c r="M5" s="8">
        <v>1001741</v>
      </c>
      <c r="N5" s="8">
        <v>1062394.1459999999</v>
      </c>
      <c r="O5" s="8">
        <v>817053.49</v>
      </c>
      <c r="P5" s="8">
        <v>420531.49</v>
      </c>
      <c r="Q5" s="8">
        <v>396522</v>
      </c>
      <c r="R5" s="8">
        <v>817053</v>
      </c>
      <c r="S5" s="8">
        <v>0.489999999990686</v>
      </c>
      <c r="T5" s="8">
        <v>774050.68400000001</v>
      </c>
      <c r="U5" s="8">
        <v>398398.68400000001</v>
      </c>
      <c r="V5" s="8">
        <v>375652</v>
      </c>
      <c r="W5" s="8">
        <v>774050</v>
      </c>
      <c r="X5" s="8">
        <v>0.68400000000838101</v>
      </c>
      <c r="Y5" s="8">
        <v>17194.030999999999</v>
      </c>
      <c r="Z5" s="8">
        <v>8847.0309999999899</v>
      </c>
      <c r="AA5" s="8">
        <v>8347</v>
      </c>
      <c r="AB5" s="8">
        <v>8347</v>
      </c>
      <c r="AC5" s="8">
        <v>8847.0309999999899</v>
      </c>
      <c r="AD5" s="8">
        <v>68804.504000000001</v>
      </c>
      <c r="AE5" s="8">
        <v>35413.504000000001</v>
      </c>
      <c r="AF5" s="8">
        <v>33391</v>
      </c>
      <c r="AG5" s="8">
        <v>33390</v>
      </c>
      <c r="AH5" s="8">
        <v>35414.504000000001</v>
      </c>
      <c r="AI5" s="8">
        <v>21501.121999999999</v>
      </c>
      <c r="AJ5" s="8">
        <v>11067.121999999999</v>
      </c>
      <c r="AK5" s="8">
        <v>10434</v>
      </c>
      <c r="AL5" s="8">
        <v>10434</v>
      </c>
      <c r="AM5" s="8">
        <v>11067.121999999999</v>
      </c>
      <c r="AN5" s="8">
        <v>129008.446</v>
      </c>
      <c r="AO5" s="8">
        <v>66400.445999999996</v>
      </c>
      <c r="AP5" s="8">
        <v>62608</v>
      </c>
      <c r="AQ5" s="8">
        <v>62608</v>
      </c>
      <c r="AR5" s="8">
        <v>66400.445999999996</v>
      </c>
      <c r="AS5" s="8">
        <v>301019.70699999999</v>
      </c>
      <c r="AT5" s="8">
        <v>154932.70699999999</v>
      </c>
      <c r="AU5" s="8">
        <v>146087</v>
      </c>
      <c r="AV5" s="8">
        <v>300647</v>
      </c>
      <c r="AW5" s="8">
        <v>372.70699999999403</v>
      </c>
      <c r="AX5" s="8">
        <v>38702.531999999999</v>
      </c>
      <c r="AY5" s="8">
        <v>19920.531999999999</v>
      </c>
      <c r="AZ5" s="8">
        <v>18782</v>
      </c>
      <c r="BA5" s="8">
        <v>18780</v>
      </c>
      <c r="BB5" s="8">
        <v>19922.531999999999</v>
      </c>
      <c r="BC5" s="8">
        <v>511418.49599999998</v>
      </c>
      <c r="BD5" s="8">
        <v>511418.49599999998</v>
      </c>
      <c r="BE5" s="8">
        <v>0</v>
      </c>
      <c r="BF5" s="8">
        <v>511418</v>
      </c>
      <c r="BG5" s="8">
        <v>0.49599999998463301</v>
      </c>
    </row>
    <row r="6" spans="1:59" x14ac:dyDescent="0.2">
      <c r="A6" s="6"/>
      <c r="B6" s="6"/>
      <c r="C6" s="7"/>
      <c r="D6" s="7"/>
      <c r="E6" s="6"/>
      <c r="F6" s="2"/>
      <c r="G6" s="1">
        <f>H6+I6</f>
        <v>4300236</v>
      </c>
      <c r="H6" s="1">
        <v>2213320</v>
      </c>
      <c r="I6" s="1">
        <v>2086916</v>
      </c>
      <c r="J6" s="2">
        <f>J$1*$G6</f>
        <v>2064113.28</v>
      </c>
      <c r="K6" s="2">
        <f>K$1*$H6</f>
        <v>1062393.5999999999</v>
      </c>
      <c r="L6" s="2">
        <f>L$1*$I6</f>
        <v>1001719.6799999999</v>
      </c>
      <c r="M6" s="2"/>
      <c r="N6" s="1"/>
      <c r="O6" s="2">
        <f>O$1*$G6</f>
        <v>817044.84</v>
      </c>
      <c r="P6" s="2">
        <f>P$1*$H6</f>
        <v>420530.8</v>
      </c>
      <c r="Q6" s="2">
        <f>Q$1*$I6</f>
        <v>396514.04</v>
      </c>
      <c r="R6" s="2"/>
      <c r="S6" s="1"/>
      <c r="T6" s="2">
        <f>T$1*$G6</f>
        <v>774042.48</v>
      </c>
      <c r="U6" s="2">
        <f>U$1*$H6</f>
        <v>398397.6</v>
      </c>
      <c r="V6" s="2">
        <f>V$1*$I6</f>
        <v>375644.88</v>
      </c>
      <c r="W6" s="2"/>
      <c r="X6" s="1"/>
      <c r="Y6" s="2">
        <f>Y$1*$G6</f>
        <v>17200.944</v>
      </c>
      <c r="Z6" s="2">
        <f>Z$1*$H6</f>
        <v>8853.2800000000007</v>
      </c>
      <c r="AA6" s="2">
        <f>AA$1*$I6</f>
        <v>8347.6640000000007</v>
      </c>
      <c r="AB6" s="2"/>
      <c r="AC6" s="1"/>
      <c r="AD6" s="2">
        <f>AD$1*$G6</f>
        <v>68803.775999999998</v>
      </c>
      <c r="AE6" s="2">
        <f>AE$1*$H6</f>
        <v>35413.120000000003</v>
      </c>
      <c r="AF6" s="2">
        <f>AF$1*$I6</f>
        <v>33390.656000000003</v>
      </c>
      <c r="AG6" s="2"/>
      <c r="AH6" s="2"/>
      <c r="AI6" s="2">
        <f>AI$1*$G6</f>
        <v>21501.18</v>
      </c>
      <c r="AJ6" s="2">
        <f>AJ$1*$H6</f>
        <v>11066.6</v>
      </c>
      <c r="AK6" s="2">
        <f>AK$1*$I6</f>
        <v>10434.58</v>
      </c>
      <c r="AL6" s="2"/>
      <c r="AM6" s="2"/>
      <c r="AN6" s="2">
        <f>AN$1*$G6</f>
        <v>129007.08</v>
      </c>
      <c r="AO6" s="2">
        <f>AO$1*$H6</f>
        <v>66399.599999999991</v>
      </c>
      <c r="AP6" s="2">
        <f>AP$1*$I6</f>
        <v>62607.479999999996</v>
      </c>
      <c r="AQ6" s="2"/>
      <c r="AR6" s="2"/>
      <c r="AS6" s="2">
        <f>AS$1*$G6</f>
        <v>301016.52</v>
      </c>
      <c r="AT6" s="2">
        <f>AT$1*$H6</f>
        <v>154932.40000000002</v>
      </c>
      <c r="AU6" s="2">
        <f>AU$1*$I6</f>
        <v>146084.12000000002</v>
      </c>
      <c r="AV6" s="2"/>
      <c r="AW6" s="2"/>
      <c r="AX6" s="2">
        <f>AX$1*$G6</f>
        <v>38702.123999999996</v>
      </c>
      <c r="AY6" s="2">
        <f>AY$1*$H6</f>
        <v>19919.879999999997</v>
      </c>
      <c r="AZ6" s="2">
        <f>AZ$1*$I6</f>
        <v>18782.243999999999</v>
      </c>
      <c r="BA6" s="2"/>
      <c r="BB6" s="2"/>
      <c r="BC6" s="2"/>
      <c r="BD6" s="2"/>
      <c r="BE6" s="2"/>
      <c r="BF6" s="2"/>
      <c r="BG6" s="2"/>
    </row>
    <row r="7" spans="1:59" x14ac:dyDescent="0.2">
      <c r="A7" s="4">
        <v>3</v>
      </c>
      <c r="B7" s="4">
        <v>310832983</v>
      </c>
      <c r="C7" s="5" t="d">
        <v>2019-11-25</v>
      </c>
      <c r="D7" s="5" t="d">
        <v>2020-11-30</v>
      </c>
      <c r="E7" s="4" t="s">
        <v>56</v>
      </c>
      <c r="F7" s="8">
        <v>17654</v>
      </c>
      <c r="G7" s="8"/>
      <c r="H7" s="8"/>
      <c r="I7" s="8"/>
      <c r="J7" s="8">
        <v>556870.57999999996</v>
      </c>
      <c r="K7" s="8">
        <v>79.579999999958005</v>
      </c>
      <c r="L7" s="8">
        <v>556791</v>
      </c>
      <c r="M7" s="8">
        <v>220710</v>
      </c>
      <c r="N7" s="8">
        <v>336160.57999999903</v>
      </c>
      <c r="O7" s="8">
        <v>220427.94</v>
      </c>
      <c r="P7" s="8">
        <v>31.9400000000023</v>
      </c>
      <c r="Q7" s="8">
        <v>220396</v>
      </c>
      <c r="R7" s="8">
        <v>220427</v>
      </c>
      <c r="S7" s="8">
        <v>0.94000000000232797</v>
      </c>
      <c r="T7" s="8">
        <v>209006.47</v>
      </c>
      <c r="U7" s="8">
        <v>210.47000000000099</v>
      </c>
      <c r="V7" s="8">
        <v>208796</v>
      </c>
      <c r="W7" s="8">
        <v>209006</v>
      </c>
      <c r="X7" s="8">
        <v>0.47000000000116399</v>
      </c>
      <c r="Y7" s="8">
        <v>4640.58</v>
      </c>
      <c r="Z7" s="8">
        <v>1.5799999999999199</v>
      </c>
      <c r="AA7" s="8">
        <v>4639</v>
      </c>
      <c r="AB7" s="8">
        <v>0</v>
      </c>
      <c r="AC7" s="8">
        <v>4640.58</v>
      </c>
      <c r="AD7" s="8">
        <v>18559.71</v>
      </c>
      <c r="AE7" s="8">
        <v>0.709999999999126</v>
      </c>
      <c r="AF7" s="8">
        <v>18559</v>
      </c>
      <c r="AG7" s="8">
        <v>18556</v>
      </c>
      <c r="AH7" s="8">
        <v>3.7099999999991198</v>
      </c>
      <c r="AI7" s="8">
        <v>5800.7349999999997</v>
      </c>
      <c r="AJ7" s="8">
        <v>1.7349999999996699</v>
      </c>
      <c r="AK7" s="8">
        <v>5799</v>
      </c>
      <c r="AL7" s="8">
        <v>5799</v>
      </c>
      <c r="AM7" s="8">
        <v>1.7349999999996699</v>
      </c>
      <c r="AN7" s="8">
        <v>34799.46</v>
      </c>
      <c r="AO7" s="8">
        <v>0.459999999999126</v>
      </c>
      <c r="AP7" s="8">
        <v>34799</v>
      </c>
      <c r="AQ7" s="8">
        <v>34798</v>
      </c>
      <c r="AR7" s="8">
        <v>1.45999999999912</v>
      </c>
      <c r="AS7" s="8">
        <v>81198.740000000005</v>
      </c>
      <c r="AT7" s="8">
        <v>0.74000000000523802</v>
      </c>
      <c r="AU7" s="8">
        <v>81198</v>
      </c>
      <c r="AV7" s="8">
        <v>81198</v>
      </c>
      <c r="AW7" s="8">
        <v>0.74000000000523802</v>
      </c>
      <c r="AX7" s="8">
        <v>10439.83</v>
      </c>
      <c r="AY7" s="8">
        <v>0.82999999999992702</v>
      </c>
      <c r="AZ7" s="8">
        <v>10439</v>
      </c>
      <c r="BA7" s="8">
        <v>10439</v>
      </c>
      <c r="BB7" s="8">
        <v>0.82999999999992702</v>
      </c>
      <c r="BC7" s="8">
        <v>53230.578999999998</v>
      </c>
      <c r="BD7" s="8">
        <v>-27967.420999999998</v>
      </c>
      <c r="BE7" s="8">
        <v>81198</v>
      </c>
      <c r="BF7" s="8">
        <v>0</v>
      </c>
      <c r="BG7" s="8">
        <v>53230.578999999998</v>
      </c>
    </row>
    <row r="8" spans="1:59" x14ac:dyDescent="0.2">
      <c r="A8" s="6"/>
      <c r="B8" s="6"/>
      <c r="C8" s="7"/>
      <c r="D8" s="7"/>
      <c r="E8" s="6"/>
      <c r="F8" s="2"/>
      <c r="G8" s="1">
        <f>H8+I8</f>
        <v>1160147</v>
      </c>
      <c r="H8" s="1">
        <v>165</v>
      </c>
      <c r="I8" s="1">
        <v>1159982</v>
      </c>
      <c r="J8" s="2">
        <f>J$1*$G8</f>
        <v>556870.55999999994</v>
      </c>
      <c r="K8" s="2">
        <f>K$1*$H8</f>
        <v>79.2</v>
      </c>
      <c r="L8" s="2">
        <f>L$1*$I8</f>
        <v>556791.36</v>
      </c>
      <c r="M8" s="2"/>
      <c r="N8" s="1"/>
      <c r="O8" s="2">
        <f>O$1*$G8</f>
        <v>220427.93</v>
      </c>
      <c r="P8" s="2">
        <f>P$1*$H8</f>
        <v>31.35</v>
      </c>
      <c r="Q8" s="2">
        <f>Q$1*$I8</f>
        <v>220396.58000000002</v>
      </c>
      <c r="R8" s="2"/>
      <c r="S8" s="1"/>
      <c r="T8" s="2">
        <f>T$1*$G8</f>
        <v>208826.46</v>
      </c>
      <c r="U8" s="2">
        <f>U$1*$H8</f>
        <v>29.7</v>
      </c>
      <c r="V8" s="2">
        <f>V$1*$I8</f>
        <v>208796.75999999998</v>
      </c>
      <c r="W8" s="2"/>
      <c r="X8" s="1"/>
      <c r="Y8" s="2">
        <f>Y$1*$G8</f>
        <v>4640.5879999999997</v>
      </c>
      <c r="Z8" s="2">
        <f>Z$1*$H8</f>
        <v>0.66</v>
      </c>
      <c r="AA8" s="2">
        <f>AA$1*$I8</f>
        <v>4639.9279999999999</v>
      </c>
      <c r="AB8" s="2"/>
      <c r="AC8" s="1"/>
      <c r="AD8" s="2">
        <f>AD$1*$G8</f>
        <v>18562.351999999999</v>
      </c>
      <c r="AE8" s="2">
        <f>AE$1*$H8</f>
        <v>2.64</v>
      </c>
      <c r="AF8" s="2">
        <f>AF$1*$I8</f>
        <v>18559.712</v>
      </c>
      <c r="AG8" s="2"/>
      <c r="AH8" s="2"/>
      <c r="AI8" s="2">
        <f>AI$1*$G8</f>
        <v>5800.7349999999997</v>
      </c>
      <c r="AJ8" s="2">
        <f>AJ$1*$H8</f>
        <v>0.82500000000000007</v>
      </c>
      <c r="AK8" s="2">
        <f>AK$1*$I8</f>
        <v>5799.91</v>
      </c>
      <c r="AL8" s="2"/>
      <c r="AM8" s="2"/>
      <c r="AN8" s="2">
        <f>AN$1*$G8</f>
        <v>34804.409999999996</v>
      </c>
      <c r="AO8" s="2">
        <f>AO$1*$H8</f>
        <v>4.95</v>
      </c>
      <c r="AP8" s="2">
        <f>AP$1*$I8</f>
        <v>34799.46</v>
      </c>
      <c r="AQ8" s="2"/>
      <c r="AR8" s="2"/>
      <c r="AS8" s="2">
        <f>AS$1*$G8</f>
        <v>81210.290000000008</v>
      </c>
      <c r="AT8" s="2">
        <f>AT$1*$H8</f>
        <v>11.55</v>
      </c>
      <c r="AU8" s="2">
        <f>AU$1*$I8</f>
        <v>81198.740000000005</v>
      </c>
      <c r="AV8" s="2"/>
      <c r="AW8" s="2"/>
      <c r="AX8" s="2">
        <f>AX$1*$G8</f>
        <v>10441.322999999999</v>
      </c>
      <c r="AY8" s="2">
        <f>AY$1*$H8</f>
        <v>1.4849999999999999</v>
      </c>
      <c r="AZ8" s="2">
        <f>AZ$1*$I8</f>
        <v>10439.838</v>
      </c>
      <c r="BA8" s="2"/>
      <c r="BB8" s="2"/>
      <c r="BC8" s="2"/>
      <c r="BD8" s="2"/>
      <c r="BE8" s="2"/>
      <c r="BF8" s="2"/>
      <c r="BG8" s="2"/>
    </row>
    <row r="9" spans="1:59" x14ac:dyDescent="0.2">
      <c r="A9" s="4">
        <f>A7+1</f>
        <v>4</v>
      </c>
      <c r="B9" s="4">
        <v>310832880</v>
      </c>
      <c r="C9" s="5" t="d">
        <v>2019-11-19</v>
      </c>
      <c r="D9" s="5" t="d">
        <v>2020-11-30</v>
      </c>
      <c r="E9" s="4" t="s">
        <v>56</v>
      </c>
      <c r="F9" s="8">
        <v>4</v>
      </c>
      <c r="G9" s="8"/>
      <c r="H9" s="8"/>
      <c r="I9" s="8"/>
      <c r="J9" s="8">
        <v>344119.10399999999</v>
      </c>
      <c r="K9" s="8">
        <v>174.103999999992</v>
      </c>
      <c r="L9" s="8">
        <v>343945</v>
      </c>
      <c r="M9" s="8">
        <v>134302</v>
      </c>
      <c r="N9" s="8">
        <v>209817.10399999999</v>
      </c>
      <c r="O9" s="8">
        <v>136213.81200000001</v>
      </c>
      <c r="P9" s="8">
        <v>68.812000000005298</v>
      </c>
      <c r="Q9" s="8">
        <v>136145</v>
      </c>
      <c r="R9" s="8">
        <v>136213</v>
      </c>
      <c r="S9" s="8">
        <v>0.81200000000535499</v>
      </c>
      <c r="T9" s="8">
        <v>129044.664</v>
      </c>
      <c r="U9" s="8">
        <v>65.664000000004293</v>
      </c>
      <c r="V9" s="8">
        <v>128979</v>
      </c>
      <c r="W9" s="8">
        <v>129044</v>
      </c>
      <c r="X9" s="8">
        <v>0.66400000000430703</v>
      </c>
      <c r="Y9" s="8">
        <v>2867.6590000000001</v>
      </c>
      <c r="Z9" s="8">
        <v>1.6590000000001</v>
      </c>
      <c r="AA9" s="8">
        <v>2866</v>
      </c>
      <c r="AB9" s="8">
        <v>2761</v>
      </c>
      <c r="AC9" s="8">
        <v>106.65900000000001</v>
      </c>
      <c r="AD9" s="8">
        <v>11464.82</v>
      </c>
      <c r="AE9" s="8">
        <v>0.81999999999970896</v>
      </c>
      <c r="AF9" s="8">
        <v>11464</v>
      </c>
      <c r="AG9" s="8">
        <v>11464</v>
      </c>
      <c r="AH9" s="8">
        <v>0.81999999999970896</v>
      </c>
      <c r="AI9" s="8">
        <v>3584.57</v>
      </c>
      <c r="AJ9" s="8">
        <v>2.5700000000001602</v>
      </c>
      <c r="AK9" s="8">
        <v>3582</v>
      </c>
      <c r="AL9" s="8">
        <v>3582</v>
      </c>
      <c r="AM9" s="8">
        <v>2.5700000000001602</v>
      </c>
      <c r="AN9" s="8">
        <v>21496.644</v>
      </c>
      <c r="AO9" s="8">
        <v>0.64400000000023205</v>
      </c>
      <c r="AP9" s="8">
        <v>21496</v>
      </c>
      <c r="AQ9" s="8">
        <v>21496</v>
      </c>
      <c r="AR9" s="8">
        <v>0.64400000000023205</v>
      </c>
      <c r="AS9" s="8">
        <v>50158.836000000003</v>
      </c>
      <c r="AT9" s="8">
        <v>0.83600000000296804</v>
      </c>
      <c r="AU9" s="8">
        <v>50158</v>
      </c>
      <c r="AV9" s="8">
        <v>50158</v>
      </c>
      <c r="AW9" s="8">
        <v>0.83600000000296804</v>
      </c>
      <c r="AX9" s="8">
        <v>6448.99</v>
      </c>
      <c r="AY9" s="8">
        <v>0.98999999999978106</v>
      </c>
      <c r="AZ9" s="8">
        <v>6448</v>
      </c>
      <c r="BA9" s="8">
        <v>6445</v>
      </c>
      <c r="BB9" s="8">
        <v>3.9899999999997799</v>
      </c>
      <c r="BC9" s="8">
        <v>32099.766</v>
      </c>
      <c r="BD9" s="8">
        <v>-18058.234</v>
      </c>
      <c r="BE9" s="8">
        <v>50158</v>
      </c>
      <c r="BF9" s="8">
        <v>0</v>
      </c>
      <c r="BG9" s="8">
        <v>32099.766</v>
      </c>
    </row>
    <row r="10" spans="1:59" x14ac:dyDescent="0.2">
      <c r="A10" s="6"/>
      <c r="B10" s="6"/>
      <c r="C10" s="7"/>
      <c r="D10" s="7"/>
      <c r="E10" s="6"/>
      <c r="F10" s="2"/>
      <c r="G10" s="1">
        <f>H10+I10</f>
        <v>716914</v>
      </c>
      <c r="H10" s="1">
        <v>360</v>
      </c>
      <c r="I10" s="1">
        <v>716554</v>
      </c>
      <c r="J10" s="2">
        <f>J$1*$G10</f>
        <v>344118.72</v>
      </c>
      <c r="K10" s="2">
        <f>K$1*$H10</f>
        <v>172.79999999999998</v>
      </c>
      <c r="L10" s="2">
        <f>L$1*$I10</f>
        <v>343945.92</v>
      </c>
      <c r="M10" s="2"/>
      <c r="N10" s="1"/>
      <c r="O10" s="2">
        <f>O$1*$G10</f>
        <v>136213.66</v>
      </c>
      <c r="P10" s="2">
        <f>P$1*$H10</f>
        <v>68.400000000000006</v>
      </c>
      <c r="Q10" s="2">
        <f>Q$1*$I10</f>
        <v>136145.26</v>
      </c>
      <c r="R10" s="2"/>
      <c r="S10" s="1"/>
      <c r="T10" s="2">
        <f>T$1*$G10</f>
        <v>129044.51999999999</v>
      </c>
      <c r="U10" s="2">
        <f>U$1*$H10</f>
        <v>64.8</v>
      </c>
      <c r="V10" s="2">
        <f>V$1*$I10</f>
        <v>128979.72</v>
      </c>
      <c r="W10" s="2"/>
      <c r="X10" s="1"/>
      <c r="Y10" s="2">
        <f>Y$1*$G10</f>
        <v>2867.6559999999999</v>
      </c>
      <c r="Z10" s="2">
        <f>Z$1*$H10</f>
        <v>1.44</v>
      </c>
      <c r="AA10" s="2">
        <f>AA$1*$I10</f>
        <v>2866.2159999999999</v>
      </c>
      <c r="AB10" s="2"/>
      <c r="AC10" s="1"/>
      <c r="AD10" s="2">
        <f>AD$1*$G10</f>
        <v>11470.624</v>
      </c>
      <c r="AE10" s="2">
        <f>AE$1*$H10</f>
        <v>5.76</v>
      </c>
      <c r="AF10" s="2">
        <f>AF$1*$I10</f>
        <v>11464.864</v>
      </c>
      <c r="AG10" s="2"/>
      <c r="AH10" s="2"/>
      <c r="AI10" s="2">
        <f>AI$1*$G10</f>
        <v>3584.57</v>
      </c>
      <c r="AJ10" s="2">
        <f>AJ$1*$H10</f>
        <v>1.8</v>
      </c>
      <c r="AK10" s="2">
        <f>AK$1*$I10</f>
        <v>3582.77</v>
      </c>
      <c r="AL10" s="2"/>
      <c r="AM10" s="2"/>
      <c r="AN10" s="2">
        <f>AN$1*$G10</f>
        <v>21507.42</v>
      </c>
      <c r="AO10" s="2">
        <f>AO$1*$H10</f>
        <v>10.799999999999999</v>
      </c>
      <c r="AP10" s="2">
        <f>AP$1*$I10</f>
        <v>21496.62</v>
      </c>
      <c r="AQ10" s="2"/>
      <c r="AR10" s="2"/>
      <c r="AS10" s="2">
        <f>AS$1*$G10</f>
        <v>50183.98</v>
      </c>
      <c r="AT10" s="2">
        <f>AT$1*$H10</f>
        <v>25.200000000000003</v>
      </c>
      <c r="AU10" s="2">
        <f>AU$1*$I10</f>
        <v>50158.780000000006</v>
      </c>
      <c r="AV10" s="2"/>
      <c r="AW10" s="2"/>
      <c r="AX10" s="2">
        <f>AX$1*$G10</f>
        <v>6452.2259999999997</v>
      </c>
      <c r="AY10" s="2">
        <f>AY$1*$H10</f>
        <v>3.2399999999999998</v>
      </c>
      <c r="AZ10" s="2">
        <f>AZ$1*$I10</f>
        <v>6448.9859999999999</v>
      </c>
      <c r="BA10" s="2"/>
      <c r="BB10" s="2"/>
      <c r="BC10" s="2"/>
      <c r="BD10" s="2"/>
      <c r="BE10" s="2"/>
      <c r="BF10" s="2"/>
      <c r="BG10" s="2"/>
    </row>
    <row r="11" spans="1:59" x14ac:dyDescent="0.2">
      <c r="A11" s="4">
        <f t="shared" ref="A11" si="0">A9+1</f>
        <v>5</v>
      </c>
      <c r="B11" s="4">
        <v>310832985</v>
      </c>
      <c r="C11" s="5" t="d">
        <v>2019-11-25</v>
      </c>
      <c r="D11" s="5" t="d">
        <v>2020-11-30</v>
      </c>
      <c r="E11" s="4" t="s">
        <v>56</v>
      </c>
      <c r="F11" s="8">
        <v>4407</v>
      </c>
      <c r="G11" s="8"/>
      <c r="H11" s="8"/>
      <c r="I11" s="9"/>
      <c r="J11" s="8">
        <v>517506.72</v>
      </c>
      <c r="K11" s="8">
        <v>126.719999999972</v>
      </c>
      <c r="L11" s="8">
        <v>517380</v>
      </c>
      <c r="M11" s="8">
        <v>237845</v>
      </c>
      <c r="N11" s="8">
        <v>279661.71999999997</v>
      </c>
      <c r="O11" s="8">
        <v>204846.405</v>
      </c>
      <c r="P11" s="8">
        <v>50.4049999999988</v>
      </c>
      <c r="Q11" s="8">
        <v>204796</v>
      </c>
      <c r="R11" s="8">
        <v>204846</v>
      </c>
      <c r="S11" s="8">
        <v>0.40499999999883501</v>
      </c>
      <c r="T11" s="8">
        <v>194065.02</v>
      </c>
      <c r="U11" s="8">
        <v>48.019999999989501</v>
      </c>
      <c r="V11" s="8">
        <v>194017</v>
      </c>
      <c r="W11" s="8">
        <v>194065</v>
      </c>
      <c r="X11" s="8">
        <v>1.99999999895226E-2</v>
      </c>
      <c r="Y11" s="8">
        <v>4312.55</v>
      </c>
      <c r="Z11" s="8">
        <v>1.5500000000001799</v>
      </c>
      <c r="AA11" s="8">
        <v>4311</v>
      </c>
      <c r="AB11" s="8">
        <v>3162</v>
      </c>
      <c r="AC11" s="8">
        <v>1150.55</v>
      </c>
      <c r="AD11" s="8">
        <v>17246.02</v>
      </c>
      <c r="AE11" s="8">
        <v>2.0000000000436498E-2</v>
      </c>
      <c r="AF11" s="8">
        <v>17246</v>
      </c>
      <c r="AG11" s="8">
        <v>17244</v>
      </c>
      <c r="AH11" s="8">
        <v>2.0200000000004299</v>
      </c>
      <c r="AI11" s="8">
        <v>5390.692</v>
      </c>
      <c r="AJ11" s="8">
        <v>1.6919999999999999</v>
      </c>
      <c r="AK11" s="8">
        <v>5389</v>
      </c>
      <c r="AL11" s="8">
        <v>5389</v>
      </c>
      <c r="AM11" s="8">
        <v>1.6919999999999999</v>
      </c>
      <c r="AN11" s="8">
        <v>32336.29</v>
      </c>
      <c r="AO11" s="8">
        <v>0.290000000000873</v>
      </c>
      <c r="AP11" s="8">
        <v>32336</v>
      </c>
      <c r="AQ11" s="8">
        <v>32335</v>
      </c>
      <c r="AR11" s="8">
        <v>1.29000000000087</v>
      </c>
      <c r="AS11" s="8">
        <v>75451.356</v>
      </c>
      <c r="AT11" s="8">
        <v>0.355999999999767</v>
      </c>
      <c r="AU11" s="8">
        <v>75451</v>
      </c>
      <c r="AV11" s="8">
        <v>75451</v>
      </c>
      <c r="AW11" s="8">
        <v>0.355999999999767</v>
      </c>
      <c r="AX11" s="8">
        <v>9700.8799999999992</v>
      </c>
      <c r="AY11" s="8">
        <v>0.87999999999919898</v>
      </c>
      <c r="AZ11" s="8">
        <v>9700</v>
      </c>
      <c r="BA11" s="8">
        <v>9698</v>
      </c>
      <c r="BB11" s="8">
        <v>2.8799999999991899</v>
      </c>
      <c r="BC11" s="8">
        <v>72292.214000000007</v>
      </c>
      <c r="BD11" s="8">
        <v>-3158.7859999999901</v>
      </c>
      <c r="BE11" s="8">
        <v>75451</v>
      </c>
      <c r="BF11" s="8">
        <v>0</v>
      </c>
      <c r="BG11" s="8">
        <v>72292.214000000007</v>
      </c>
    </row>
    <row r="12" spans="1:59" x14ac:dyDescent="0.2">
      <c r="A12" s="6"/>
      <c r="B12" s="6"/>
      <c r="C12" s="7"/>
      <c r="D12" s="7"/>
      <c r="E12" s="6"/>
      <c r="F12" s="2"/>
      <c r="G12" s="1">
        <f>H12+I12</f>
        <v>1078138.5</v>
      </c>
      <c r="H12" s="1">
        <v>262.5</v>
      </c>
      <c r="I12" s="1">
        <v>1077876</v>
      </c>
      <c r="J12" s="2">
        <f>J$1*$G12</f>
        <v>517506.48</v>
      </c>
      <c r="K12" s="2">
        <f>K$1*$H12</f>
        <v>126</v>
      </c>
      <c r="L12" s="2">
        <f>L$1*$I12</f>
        <v>517380.48</v>
      </c>
      <c r="M12" s="2"/>
      <c r="N12" s="1"/>
      <c r="O12" s="2">
        <f>O$1*$G12</f>
        <v>204846.315</v>
      </c>
      <c r="P12" s="2">
        <f>P$1*$H12</f>
        <v>49.875</v>
      </c>
      <c r="Q12" s="2">
        <f>Q$1*$I12</f>
        <v>204796.44</v>
      </c>
      <c r="R12" s="2"/>
      <c r="S12" s="1"/>
      <c r="T12" s="2">
        <f>T$1*$G12</f>
        <v>194064.93</v>
      </c>
      <c r="U12" s="2">
        <f>U$1*$H12</f>
        <v>47.25</v>
      </c>
      <c r="V12" s="2">
        <f>V$1*$I12</f>
        <v>194017.68</v>
      </c>
      <c r="W12" s="2"/>
      <c r="X12" s="1"/>
      <c r="Y12" s="2">
        <f>Y$1*$G12</f>
        <v>4312.5540000000001</v>
      </c>
      <c r="Z12" s="2">
        <f>Z$1*$H12</f>
        <v>1.05</v>
      </c>
      <c r="AA12" s="2">
        <f>AA$1*$I12</f>
        <v>4311.5039999999999</v>
      </c>
      <c r="AB12" s="2"/>
      <c r="AC12" s="1"/>
      <c r="AD12" s="2">
        <f>AD$1*$G12</f>
        <v>17250.216</v>
      </c>
      <c r="AE12" s="2">
        <f>AE$1*$H12</f>
        <v>4.2</v>
      </c>
      <c r="AF12" s="2">
        <f>AF$1*$I12</f>
        <v>17246.016</v>
      </c>
      <c r="AG12" s="2"/>
      <c r="AH12" s="2"/>
      <c r="AI12" s="2">
        <f>AI$1*$G12</f>
        <v>5390.6925000000001</v>
      </c>
      <c r="AJ12" s="2">
        <f>AJ$1*$H12</f>
        <v>1.3125</v>
      </c>
      <c r="AK12" s="2">
        <f>AK$1*$I12</f>
        <v>5389.38</v>
      </c>
      <c r="AL12" s="2"/>
      <c r="AM12" s="2"/>
      <c r="AN12" s="2">
        <f>AN$1*$G12</f>
        <v>32344.154999999999</v>
      </c>
      <c r="AO12" s="2">
        <f>AO$1*$H12</f>
        <v>7.875</v>
      </c>
      <c r="AP12" s="2">
        <f>AP$1*$I12</f>
        <v>32336.28</v>
      </c>
      <c r="AQ12" s="2"/>
      <c r="AR12" s="2"/>
      <c r="AS12" s="2">
        <f>AS$1*$G12</f>
        <v>75469.695000000007</v>
      </c>
      <c r="AT12" s="2">
        <f>AT$1*$H12</f>
        <v>18.375</v>
      </c>
      <c r="AU12" s="2">
        <f>AU$1*$I12</f>
        <v>75451.320000000007</v>
      </c>
      <c r="AV12" s="2"/>
      <c r="AW12" s="2"/>
      <c r="AX12" s="2">
        <f>AX$1*$G12</f>
        <v>9703.2464999999993</v>
      </c>
      <c r="AY12" s="2">
        <f>AY$1*$H12</f>
        <v>2.3624999999999998</v>
      </c>
      <c r="AZ12" s="2">
        <f>AZ$1*$I12</f>
        <v>9700.884</v>
      </c>
      <c r="BA12" s="2"/>
      <c r="BB12" s="2"/>
      <c r="BC12" s="2"/>
      <c r="BD12" s="2"/>
      <c r="BE12" s="2"/>
      <c r="BF12" s="2"/>
      <c r="BG12" s="2"/>
    </row>
    <row r="13" spans="1:59" x14ac:dyDescent="0.2">
      <c r="A13" s="4">
        <f>A11+1</f>
        <v>6</v>
      </c>
      <c r="B13" s="4">
        <v>310833197</v>
      </c>
      <c r="C13" s="5" t="d">
        <v>2019-12-04</v>
      </c>
      <c r="D13" s="5" t="d">
        <v>2020-12-31</v>
      </c>
      <c r="E13" s="4" t="s">
        <v>57</v>
      </c>
      <c r="F13" s="8">
        <v>18019</v>
      </c>
      <c r="G13" s="8"/>
      <c r="H13" s="8"/>
      <c r="I13" s="8"/>
      <c r="J13" s="8">
        <v>584840.68000000005</v>
      </c>
      <c r="K13" s="8">
        <v>126.680000000051</v>
      </c>
      <c r="L13" s="8">
        <v>584714</v>
      </c>
      <c r="M13" s="8">
        <v>178584</v>
      </c>
      <c r="N13" s="8">
        <v>406256.68</v>
      </c>
      <c r="O13" s="8">
        <v>231499.43</v>
      </c>
      <c r="P13" s="8">
        <v>50.429999999993001</v>
      </c>
      <c r="Q13" s="8">
        <v>231449</v>
      </c>
      <c r="R13" s="8">
        <v>231499</v>
      </c>
      <c r="S13" s="8">
        <v>0.42999999999301503</v>
      </c>
      <c r="T13" s="8">
        <v>219315.25</v>
      </c>
      <c r="U13" s="8">
        <v>48.25</v>
      </c>
      <c r="V13" s="8">
        <v>219267</v>
      </c>
      <c r="W13" s="8">
        <v>219315</v>
      </c>
      <c r="X13" s="8">
        <v>0.25</v>
      </c>
      <c r="Y13" s="8">
        <v>4873.67</v>
      </c>
      <c r="Z13" s="8">
        <v>1.6700000000000701</v>
      </c>
      <c r="AA13" s="8">
        <v>4872</v>
      </c>
      <c r="AB13" s="8">
        <v>0</v>
      </c>
      <c r="AC13" s="8">
        <v>4873.67</v>
      </c>
      <c r="AD13" s="8">
        <v>19490.48</v>
      </c>
      <c r="AE13" s="8">
        <v>0.479999999999563</v>
      </c>
      <c r="AF13" s="8">
        <v>19490</v>
      </c>
      <c r="AG13" s="8">
        <v>19490</v>
      </c>
      <c r="AH13" s="8">
        <v>0.479999999999563</v>
      </c>
      <c r="AI13" s="8">
        <v>6092.08</v>
      </c>
      <c r="AJ13" s="8">
        <v>2.0799999999999201</v>
      </c>
      <c r="AK13" s="8">
        <v>6090</v>
      </c>
      <c r="AL13" s="8">
        <v>6090</v>
      </c>
      <c r="AM13" s="8">
        <v>2.0799999999999201</v>
      </c>
      <c r="AN13" s="8">
        <v>36544.660000000003</v>
      </c>
      <c r="AO13" s="8">
        <v>0.66000000000349202</v>
      </c>
      <c r="AP13" s="8">
        <v>36544</v>
      </c>
      <c r="AQ13" s="8">
        <v>36544</v>
      </c>
      <c r="AR13" s="8">
        <v>0.66000000000349202</v>
      </c>
      <c r="AS13" s="8">
        <v>85270.89</v>
      </c>
      <c r="AT13" s="8">
        <v>0.88999999999941704</v>
      </c>
      <c r="AU13" s="8">
        <v>85270</v>
      </c>
      <c r="AV13" s="8">
        <v>85270</v>
      </c>
      <c r="AW13" s="8">
        <v>0.88999999999941704</v>
      </c>
      <c r="AX13" s="8">
        <v>10963.4</v>
      </c>
      <c r="AY13" s="8">
        <v>0.39999999999963598</v>
      </c>
      <c r="AZ13" s="8">
        <v>10963</v>
      </c>
      <c r="BA13" s="8">
        <v>10963</v>
      </c>
      <c r="BB13" s="8">
        <v>0.39999999999963598</v>
      </c>
      <c r="BC13" s="8">
        <v>53206.79</v>
      </c>
      <c r="BD13" s="8">
        <v>53206.79</v>
      </c>
      <c r="BE13" s="8">
        <v>0</v>
      </c>
      <c r="BF13" s="8">
        <v>0</v>
      </c>
      <c r="BG13" s="8">
        <v>53206.79</v>
      </c>
    </row>
    <row r="14" spans="1:59" x14ac:dyDescent="0.2">
      <c r="A14" s="6"/>
      <c r="B14" s="6"/>
      <c r="C14" s="7"/>
      <c r="D14" s="7"/>
      <c r="E14" s="6"/>
      <c r="F14" s="2"/>
      <c r="G14" s="1">
        <f>H14+I14</f>
        <v>1218418</v>
      </c>
      <c r="H14" s="1">
        <v>262.5</v>
      </c>
      <c r="I14" s="1">
        <v>1218155.5</v>
      </c>
      <c r="J14" s="2">
        <f>J$1*$G14</f>
        <v>584840.64</v>
      </c>
      <c r="K14" s="2">
        <f>K$1*$H14</f>
        <v>126</v>
      </c>
      <c r="L14" s="2">
        <f>L$1*$I14</f>
        <v>584714.64</v>
      </c>
      <c r="M14" s="2"/>
      <c r="N14" s="1"/>
      <c r="O14" s="2">
        <f>O$1*$G14</f>
        <v>231499.42</v>
      </c>
      <c r="P14" s="2">
        <f>P$1*$H14</f>
        <v>49.875</v>
      </c>
      <c r="Q14" s="2">
        <f>Q$1*$I14</f>
        <v>231449.54500000001</v>
      </c>
      <c r="R14" s="2"/>
      <c r="S14" s="1"/>
      <c r="T14" s="2">
        <f>T$1*$G14</f>
        <v>219315.24</v>
      </c>
      <c r="U14" s="2">
        <f>U$1*$H14</f>
        <v>47.25</v>
      </c>
      <c r="V14" s="2">
        <f>V$1*$I14</f>
        <v>219267.99</v>
      </c>
      <c r="W14" s="2"/>
      <c r="X14" s="1"/>
      <c r="Y14" s="2">
        <f>Y$1*$G14</f>
        <v>4873.6720000000005</v>
      </c>
      <c r="Z14" s="2">
        <f>Z$1*$H14</f>
        <v>1.05</v>
      </c>
      <c r="AA14" s="2">
        <f>AA$1*$I14</f>
        <v>4872.6220000000003</v>
      </c>
      <c r="AB14" s="2"/>
      <c r="AC14" s="1"/>
      <c r="AD14" s="2">
        <f>AD$1*$G14</f>
        <v>19494.688000000002</v>
      </c>
      <c r="AE14" s="2">
        <f>AE$1*$H14</f>
        <v>4.2</v>
      </c>
      <c r="AF14" s="2">
        <f>AF$1*$I14</f>
        <v>19490.488000000001</v>
      </c>
      <c r="AG14" s="2"/>
      <c r="AH14" s="2"/>
      <c r="AI14" s="2">
        <f>AI$1*$G14</f>
        <v>6092.09</v>
      </c>
      <c r="AJ14" s="2">
        <f>AJ$1*$H14</f>
        <v>1.3125</v>
      </c>
      <c r="AK14" s="2">
        <f>AK$1*$I14</f>
        <v>6090.7775000000001</v>
      </c>
      <c r="AL14" s="2"/>
      <c r="AM14" s="2"/>
      <c r="AN14" s="2">
        <f>AN$1*$G14</f>
        <v>36552.54</v>
      </c>
      <c r="AO14" s="2">
        <f>AO$1*$H14</f>
        <v>7.875</v>
      </c>
      <c r="AP14" s="2">
        <f>AP$1*$I14</f>
        <v>36544.665000000001</v>
      </c>
      <c r="AQ14" s="2"/>
      <c r="AR14" s="2"/>
      <c r="AS14" s="2">
        <f>AS$1*$G14</f>
        <v>85289.260000000009</v>
      </c>
      <c r="AT14" s="2">
        <f>AT$1*$H14</f>
        <v>18.375</v>
      </c>
      <c r="AU14" s="2">
        <f>AU$1*$I14</f>
        <v>85270.885000000009</v>
      </c>
      <c r="AV14" s="2"/>
      <c r="AW14" s="2"/>
      <c r="AX14" s="2">
        <f>AX$1*$G14</f>
        <v>10965.761999999999</v>
      </c>
      <c r="AY14" s="2">
        <f>AY$1*$H14</f>
        <v>2.3624999999999998</v>
      </c>
      <c r="AZ14" s="2">
        <f>AZ$1*$I14</f>
        <v>10963.3995</v>
      </c>
      <c r="BA14" s="2"/>
      <c r="BB14" s="2"/>
      <c r="BC14" s="2"/>
      <c r="BD14" s="2"/>
      <c r="BE14" s="2"/>
      <c r="BF14" s="2"/>
      <c r="BG14" s="2"/>
    </row>
    <row r="15" spans="1:59" x14ac:dyDescent="0.2">
      <c r="A15" s="4">
        <f>A13+1</f>
        <v>7</v>
      </c>
      <c r="B15" s="4">
        <v>310833198</v>
      </c>
      <c r="C15" s="5" t="d">
        <v>2019-12-04</v>
      </c>
      <c r="D15" s="5" t="d">
        <v>2020-12-31</v>
      </c>
      <c r="E15" s="4" t="s">
        <v>57</v>
      </c>
      <c r="F15" s="8">
        <v>13169</v>
      </c>
      <c r="G15" s="8"/>
      <c r="H15" s="8"/>
      <c r="I15" s="8"/>
      <c r="J15" s="8">
        <v>365761.255</v>
      </c>
      <c r="K15" s="8">
        <v>173.255000000004</v>
      </c>
      <c r="L15" s="8">
        <v>365588</v>
      </c>
      <c r="M15" s="8">
        <v>164524</v>
      </c>
      <c r="N15" s="8">
        <v>201237.255</v>
      </c>
      <c r="O15" s="8">
        <v>144780.497</v>
      </c>
      <c r="P15" s="8">
        <v>69.497000000002998</v>
      </c>
      <c r="Q15" s="8">
        <v>144711</v>
      </c>
      <c r="R15" s="8">
        <v>144780</v>
      </c>
      <c r="S15" s="8">
        <v>0.49700000000302602</v>
      </c>
      <c r="T15" s="8">
        <v>137160.47</v>
      </c>
      <c r="U15" s="8">
        <v>65.470000000001093</v>
      </c>
      <c r="V15" s="8">
        <v>137095</v>
      </c>
      <c r="W15" s="8">
        <v>137160</v>
      </c>
      <c r="X15" s="8">
        <v>0.47000000000116399</v>
      </c>
      <c r="Y15" s="8">
        <v>3048.01</v>
      </c>
      <c r="Z15" s="8">
        <v>2.0100000000002098</v>
      </c>
      <c r="AA15" s="8">
        <v>3046</v>
      </c>
      <c r="AB15" s="8">
        <v>0</v>
      </c>
      <c r="AC15" s="8">
        <v>3048.01</v>
      </c>
      <c r="AD15" s="8">
        <v>12186.281000000001</v>
      </c>
      <c r="AE15" s="8">
        <v>0.28100000000085801</v>
      </c>
      <c r="AF15" s="8">
        <v>12186</v>
      </c>
      <c r="AG15" s="8">
        <v>12186</v>
      </c>
      <c r="AH15" s="8">
        <v>0.28100000000085801</v>
      </c>
      <c r="AI15" s="8">
        <v>3810.0129999999999</v>
      </c>
      <c r="AJ15" s="8">
        <v>2.01299999999992</v>
      </c>
      <c r="AK15" s="8">
        <v>3808</v>
      </c>
      <c r="AL15" s="8">
        <v>3808</v>
      </c>
      <c r="AM15" s="8">
        <v>2.01299999999992</v>
      </c>
      <c r="AN15" s="8">
        <v>22849.277999999998</v>
      </c>
      <c r="AO15" s="8">
        <v>0.277999999998428</v>
      </c>
      <c r="AP15" s="8">
        <v>22849</v>
      </c>
      <c r="AQ15" s="8">
        <v>22848</v>
      </c>
      <c r="AR15" s="8">
        <v>1.27799999999842</v>
      </c>
      <c r="AS15" s="8">
        <v>53314.983</v>
      </c>
      <c r="AT15" s="8">
        <v>0.98300000000017396</v>
      </c>
      <c r="AU15" s="8">
        <v>53314</v>
      </c>
      <c r="AV15" s="8">
        <v>53314</v>
      </c>
      <c r="AW15" s="8">
        <v>0.98300000000017396</v>
      </c>
      <c r="AX15" s="8">
        <v>6854.7830000000004</v>
      </c>
      <c r="AY15" s="8">
        <v>0.78300000000035597</v>
      </c>
      <c r="AZ15" s="8">
        <v>6854</v>
      </c>
      <c r="BA15" s="8">
        <v>6854</v>
      </c>
      <c r="BB15" s="8">
        <v>0.78300000000035597</v>
      </c>
      <c r="BC15" s="8">
        <v>32454.363000000001</v>
      </c>
      <c r="BD15" s="8">
        <v>32454.363000000001</v>
      </c>
      <c r="BE15" s="8">
        <v>0</v>
      </c>
      <c r="BF15" s="8">
        <v>0</v>
      </c>
      <c r="BG15" s="8">
        <v>32454.363000000001</v>
      </c>
    </row>
    <row r="16" spans="1:59" x14ac:dyDescent="0.2">
      <c r="A16" s="6"/>
      <c r="B16" s="6"/>
      <c r="C16" s="7"/>
      <c r="D16" s="7"/>
      <c r="E16" s="6"/>
      <c r="F16" s="2"/>
      <c r="G16" s="1">
        <f>H16+I16</f>
        <v>762002</v>
      </c>
      <c r="H16" s="1">
        <v>360</v>
      </c>
      <c r="I16" s="1">
        <v>761642</v>
      </c>
      <c r="J16" s="2">
        <f>J$1*$G16</f>
        <v>365760.95999999996</v>
      </c>
      <c r="K16" s="2">
        <f>K$1*$H16</f>
        <v>172.79999999999998</v>
      </c>
      <c r="L16" s="2">
        <f>L$1*$I16</f>
        <v>365588.16</v>
      </c>
      <c r="M16" s="2"/>
      <c r="N16" s="1"/>
      <c r="O16" s="2">
        <f>O$1*$G16</f>
        <v>144780.38</v>
      </c>
      <c r="P16" s="2">
        <f>P$1*$H16</f>
        <v>68.400000000000006</v>
      </c>
      <c r="Q16" s="2">
        <f>Q$1*$I16</f>
        <v>144711.98000000001</v>
      </c>
      <c r="R16" s="2"/>
      <c r="S16" s="1"/>
      <c r="T16" s="2">
        <f>T$1*$G16</f>
        <v>137160.35999999999</v>
      </c>
      <c r="U16" s="2">
        <f>U$1*$H16</f>
        <v>64.8</v>
      </c>
      <c r="V16" s="2">
        <f>V$1*$I16</f>
        <v>137095.56</v>
      </c>
      <c r="W16" s="2"/>
      <c r="X16" s="1"/>
      <c r="Y16" s="2">
        <f>Y$1*$G16</f>
        <v>3048.0080000000003</v>
      </c>
      <c r="Z16" s="2">
        <f>Z$1*$H16</f>
        <v>1.44</v>
      </c>
      <c r="AA16" s="2">
        <f>AA$1*$I16</f>
        <v>3046.5680000000002</v>
      </c>
      <c r="AB16" s="2"/>
      <c r="AC16" s="1"/>
      <c r="AD16" s="2">
        <f>AD$1*$G16</f>
        <v>12192.032000000001</v>
      </c>
      <c r="AE16" s="2">
        <f>AE$1*$H16</f>
        <v>5.76</v>
      </c>
      <c r="AF16" s="2">
        <f>AF$1*$I16</f>
        <v>12186.272000000001</v>
      </c>
      <c r="AG16" s="2"/>
      <c r="AH16" s="2"/>
      <c r="AI16" s="2">
        <f>AI$1*$G16</f>
        <v>3810.01</v>
      </c>
      <c r="AJ16" s="2">
        <f>AJ$1*$H16</f>
        <v>1.8</v>
      </c>
      <c r="AK16" s="2">
        <f>AK$1*$I16</f>
        <v>3808.21</v>
      </c>
      <c r="AL16" s="2"/>
      <c r="AM16" s="2"/>
      <c r="AN16" s="2">
        <f>AN$1*$G16</f>
        <v>22860.059999999998</v>
      </c>
      <c r="AO16" s="2">
        <f>AO$1*$H16</f>
        <v>10.799999999999999</v>
      </c>
      <c r="AP16" s="2">
        <f>AP$1*$I16</f>
        <v>22849.26</v>
      </c>
      <c r="AQ16" s="2"/>
      <c r="AR16" s="2"/>
      <c r="AS16" s="2">
        <f>AS$1*$G16</f>
        <v>53340.140000000007</v>
      </c>
      <c r="AT16" s="2">
        <f>AT$1*$H16</f>
        <v>25.200000000000003</v>
      </c>
      <c r="AU16" s="2">
        <f>AU$1*$I16</f>
        <v>53314.94</v>
      </c>
      <c r="AV16" s="2"/>
      <c r="AW16" s="2"/>
      <c r="AX16" s="2">
        <f>AX$1*$G16</f>
        <v>6858.0179999999991</v>
      </c>
      <c r="AY16" s="2">
        <f>AY$1*$H16</f>
        <v>3.2399999999999998</v>
      </c>
      <c r="AZ16" s="2">
        <f>AZ$1*$I16</f>
        <v>6854.7779999999993</v>
      </c>
      <c r="BA16" s="2"/>
      <c r="BB16" s="2"/>
      <c r="BC16" s="2"/>
      <c r="BD16" s="2"/>
      <c r="BE16" s="2"/>
      <c r="BF16" s="2"/>
      <c r="BG16" s="2"/>
    </row>
    <row r="17" spans="1:59" x14ac:dyDescent="0.2">
      <c r="A17" s="4">
        <f>A15+1</f>
        <v>8</v>
      </c>
      <c r="B17" s="4">
        <v>310834152</v>
      </c>
      <c r="C17" s="5" t="d">
        <v>2020-01-15</v>
      </c>
      <c r="D17" s="5" t="d">
        <v>2021-01-31</v>
      </c>
      <c r="E17" s="4" t="s">
        <v>58</v>
      </c>
      <c r="F17" s="8">
        <v>1</v>
      </c>
      <c r="G17" s="8"/>
      <c r="H17" s="8"/>
      <c r="I17" s="8"/>
      <c r="J17" s="8">
        <v>528036.48</v>
      </c>
      <c r="K17" s="8">
        <v>10080.4799999999</v>
      </c>
      <c r="L17" s="8">
        <v>517956</v>
      </c>
      <c r="M17" s="8">
        <v>200000</v>
      </c>
      <c r="N17" s="8">
        <v>328036.47999999998</v>
      </c>
      <c r="O17" s="8">
        <v>209014.44</v>
      </c>
      <c r="P17" s="8">
        <v>3990.44</v>
      </c>
      <c r="Q17" s="8">
        <v>205024</v>
      </c>
      <c r="R17" s="8">
        <v>209014</v>
      </c>
      <c r="S17" s="8">
        <v>0.44000000000232797</v>
      </c>
      <c r="T17" s="8">
        <v>198013.68</v>
      </c>
      <c r="U17" s="8">
        <v>3780.6799999999898</v>
      </c>
      <c r="V17" s="8">
        <v>194233</v>
      </c>
      <c r="W17" s="8">
        <v>196111</v>
      </c>
      <c r="X17" s="8">
        <v>1902.6799999999901</v>
      </c>
      <c r="Y17" s="8">
        <v>4400.3100000000004</v>
      </c>
      <c r="Z17" s="8">
        <v>84.3100000000004</v>
      </c>
      <c r="AA17" s="8">
        <v>4316</v>
      </c>
      <c r="AB17" s="8">
        <v>0</v>
      </c>
      <c r="AC17" s="8">
        <v>4400.3100000000004</v>
      </c>
      <c r="AD17" s="8">
        <v>17601.23</v>
      </c>
      <c r="AE17" s="8">
        <v>336.229999999999</v>
      </c>
      <c r="AF17" s="8">
        <v>17265</v>
      </c>
      <c r="AG17" s="8">
        <v>17263</v>
      </c>
      <c r="AH17" s="8">
        <v>338.229999999999</v>
      </c>
      <c r="AI17" s="8">
        <v>5500.38</v>
      </c>
      <c r="AJ17" s="8">
        <v>105.38</v>
      </c>
      <c r="AK17" s="8">
        <v>5395</v>
      </c>
      <c r="AL17" s="8">
        <v>1652</v>
      </c>
      <c r="AM17" s="8">
        <v>3848.38</v>
      </c>
      <c r="AN17" s="8">
        <v>33002.28</v>
      </c>
      <c r="AO17" s="8">
        <v>630.27999999999804</v>
      </c>
      <c r="AP17" s="8">
        <v>32372</v>
      </c>
      <c r="AQ17" s="8">
        <v>32370</v>
      </c>
      <c r="AR17" s="8">
        <v>632.27999999999804</v>
      </c>
      <c r="AS17" s="8">
        <v>77005.320000000007</v>
      </c>
      <c r="AT17" s="8">
        <v>1470.32</v>
      </c>
      <c r="AU17" s="8">
        <v>75535</v>
      </c>
      <c r="AV17" s="8">
        <v>76896</v>
      </c>
      <c r="AW17" s="8">
        <v>109.320000000006</v>
      </c>
      <c r="AX17" s="8">
        <v>9900.69</v>
      </c>
      <c r="AY17" s="8">
        <v>189.69</v>
      </c>
      <c r="AZ17" s="8">
        <v>9711</v>
      </c>
      <c r="BA17" s="8">
        <v>9710</v>
      </c>
      <c r="BB17" s="8">
        <v>190.69</v>
      </c>
      <c r="BC17" s="8">
        <v>53535.71</v>
      </c>
      <c r="BD17" s="8">
        <v>787.70999999999901</v>
      </c>
      <c r="BE17" s="8">
        <v>52748</v>
      </c>
      <c r="BF17" s="8">
        <v>0</v>
      </c>
      <c r="BG17" s="8">
        <v>53535.71</v>
      </c>
    </row>
    <row r="18" spans="1:59" x14ac:dyDescent="0.2">
      <c r="A18" s="6"/>
      <c r="B18" s="6"/>
      <c r="C18" s="7"/>
      <c r="D18" s="7"/>
      <c r="E18" s="6"/>
      <c r="F18" s="2"/>
      <c r="G18" s="1">
        <f>H18+I18</f>
        <v>1100076</v>
      </c>
      <c r="H18" s="1">
        <v>21000</v>
      </c>
      <c r="I18" s="1">
        <v>1079076</v>
      </c>
      <c r="J18" s="2">
        <f>J$1*$G18</f>
        <v>528036.48</v>
      </c>
      <c r="K18" s="2">
        <f>K$1*$H18</f>
        <v>10080</v>
      </c>
      <c r="L18" s="2">
        <f>L$1*$I18</f>
        <v>517956.48</v>
      </c>
      <c r="M18" s="2"/>
      <c r="N18" s="1"/>
      <c r="O18" s="2">
        <f>O$1*$G18</f>
        <v>209014.44</v>
      </c>
      <c r="P18" s="2">
        <f>P$1*$H18</f>
        <v>3990</v>
      </c>
      <c r="Q18" s="2">
        <f>Q$1*$I18</f>
        <v>205024.44</v>
      </c>
      <c r="R18" s="2"/>
      <c r="S18" s="1"/>
      <c r="T18" s="2">
        <f>T$1*$G18</f>
        <v>198013.68</v>
      </c>
      <c r="U18" s="2">
        <f>U$1*$H18</f>
        <v>3780</v>
      </c>
      <c r="V18" s="2">
        <f>V$1*$I18</f>
        <v>194233.68</v>
      </c>
      <c r="W18" s="2"/>
      <c r="X18" s="1"/>
      <c r="Y18" s="2">
        <f>Y$1*$G18</f>
        <v>4400.3040000000001</v>
      </c>
      <c r="Z18" s="2">
        <f>Z$1*$H18</f>
        <v>84</v>
      </c>
      <c r="AA18" s="2">
        <f>AA$1*$I18</f>
        <v>4316.3040000000001</v>
      </c>
      <c r="AB18" s="2"/>
      <c r="AC18" s="1"/>
      <c r="AD18" s="2">
        <f>AD$1*$G18</f>
        <v>17601.216</v>
      </c>
      <c r="AE18" s="2">
        <f>AE$1*$H18</f>
        <v>336</v>
      </c>
      <c r="AF18" s="2">
        <f>AF$1*$I18</f>
        <v>17265.216</v>
      </c>
      <c r="AG18" s="2"/>
      <c r="AH18" s="2"/>
      <c r="AI18" s="2">
        <f>AI$1*$G18</f>
        <v>5500.38</v>
      </c>
      <c r="AJ18" s="2">
        <f>AJ$1*$H18</f>
        <v>105</v>
      </c>
      <c r="AK18" s="2">
        <f>AK$1*$I18</f>
        <v>5395.38</v>
      </c>
      <c r="AL18" s="2"/>
      <c r="AM18" s="2"/>
      <c r="AN18" s="2">
        <f>AN$1*$G18</f>
        <v>33002.28</v>
      </c>
      <c r="AO18" s="2">
        <f>AO$1*$H18</f>
        <v>630</v>
      </c>
      <c r="AP18" s="2">
        <f>AP$1*$I18</f>
        <v>32372.28</v>
      </c>
      <c r="AQ18" s="2"/>
      <c r="AR18" s="2"/>
      <c r="AS18" s="2">
        <f>AS$1*$G18</f>
        <v>77005.320000000007</v>
      </c>
      <c r="AT18" s="2">
        <f>AT$1*$H18</f>
        <v>1470.0000000000002</v>
      </c>
      <c r="AU18" s="2">
        <f>AU$1*$I18</f>
        <v>75535.320000000007</v>
      </c>
      <c r="AV18" s="2"/>
      <c r="AW18" s="2"/>
      <c r="AX18" s="2">
        <f>AX$1*$G18</f>
        <v>9900.6839999999993</v>
      </c>
      <c r="AY18" s="2">
        <f>AY$1*$H18</f>
        <v>188.99999999999997</v>
      </c>
      <c r="AZ18" s="2">
        <f>AZ$1*$I18</f>
        <v>9711.6839999999993</v>
      </c>
      <c r="BA18" s="2"/>
      <c r="BB18" s="2"/>
      <c r="BC18" s="2"/>
      <c r="BD18" s="2"/>
      <c r="BE18" s="2"/>
      <c r="BF18" s="2"/>
      <c r="BG18" s="2"/>
    </row>
    <row r="19" spans="1:59" x14ac:dyDescent="0.2">
      <c r="A19" s="4">
        <f>A17+1</f>
        <v>9</v>
      </c>
      <c r="B19" s="4">
        <v>310834150</v>
      </c>
      <c r="C19" s="5" t="d">
        <v>2020-01-15</v>
      </c>
      <c r="D19" s="5" t="d">
        <v>2021-01-31</v>
      </c>
      <c r="E19" s="4" t="s">
        <v>59</v>
      </c>
      <c r="F19" s="8">
        <v>1</v>
      </c>
      <c r="G19" s="8"/>
      <c r="H19" s="8"/>
      <c r="I19" s="8"/>
      <c r="J19" s="8">
        <v>440862.71999999997</v>
      </c>
      <c r="K19" s="8">
        <v>0</v>
      </c>
      <c r="L19" s="8">
        <v>440862.71999999997</v>
      </c>
      <c r="M19" s="8">
        <v>155352</v>
      </c>
      <c r="N19" s="8">
        <v>285510.71999999997</v>
      </c>
      <c r="O19" s="8">
        <v>174508.16</v>
      </c>
      <c r="P19" s="8">
        <v>0</v>
      </c>
      <c r="Q19" s="8">
        <v>174508.16</v>
      </c>
      <c r="R19" s="8">
        <v>174508</v>
      </c>
      <c r="S19" s="8">
        <v>0.16000000000349199</v>
      </c>
      <c r="T19" s="8">
        <v>165323.51999999999</v>
      </c>
      <c r="U19" s="8">
        <v>0</v>
      </c>
      <c r="V19" s="8">
        <v>165323.51999999999</v>
      </c>
      <c r="W19" s="8">
        <v>154728</v>
      </c>
      <c r="X19" s="8">
        <v>10595.5199999999</v>
      </c>
      <c r="Y19" s="8">
        <v>3673.8560000000002</v>
      </c>
      <c r="Z19" s="8">
        <v>0</v>
      </c>
      <c r="AA19" s="8">
        <v>3673.8560000000002</v>
      </c>
      <c r="AB19" s="8">
        <v>0</v>
      </c>
      <c r="AC19" s="8">
        <v>3673.8560000000002</v>
      </c>
      <c r="AD19" s="8">
        <v>14695.424000000001</v>
      </c>
      <c r="AE19" s="8">
        <v>0</v>
      </c>
      <c r="AF19" s="8">
        <v>14695.424000000001</v>
      </c>
      <c r="AG19" s="8">
        <v>14693</v>
      </c>
      <c r="AH19" s="8">
        <v>2.4240000000008801</v>
      </c>
      <c r="AI19" s="8">
        <v>4592.32</v>
      </c>
      <c r="AJ19" s="8">
        <v>0</v>
      </c>
      <c r="AK19" s="8">
        <v>4592.32</v>
      </c>
      <c r="AL19" s="8">
        <v>4592</v>
      </c>
      <c r="AM19" s="8">
        <v>0.31999999999970802</v>
      </c>
      <c r="AN19" s="8">
        <v>27553.919999999998</v>
      </c>
      <c r="AO19" s="8">
        <v>0</v>
      </c>
      <c r="AP19" s="8">
        <v>27553.919999999998</v>
      </c>
      <c r="AQ19" s="8">
        <v>27550</v>
      </c>
      <c r="AR19" s="8">
        <v>3.9199999999982502</v>
      </c>
      <c r="AS19" s="8">
        <v>64292.480000000003</v>
      </c>
      <c r="AT19" s="8">
        <v>0</v>
      </c>
      <c r="AU19" s="8">
        <v>64292.480000000003</v>
      </c>
      <c r="AV19" s="8">
        <v>47000</v>
      </c>
      <c r="AW19" s="8">
        <v>17292.48</v>
      </c>
      <c r="AX19" s="8">
        <v>8266.1759999999995</v>
      </c>
      <c r="AY19" s="8">
        <v>0</v>
      </c>
      <c r="AZ19" s="8">
        <v>8266.1759999999995</v>
      </c>
      <c r="BA19" s="8">
        <v>8263</v>
      </c>
      <c r="BB19" s="8">
        <v>3.1759999999994699</v>
      </c>
      <c r="BC19" s="8">
        <v>57364.65</v>
      </c>
      <c r="BD19" s="8">
        <v>0</v>
      </c>
      <c r="BE19" s="8">
        <v>57364.65</v>
      </c>
      <c r="BF19" s="8">
        <v>0</v>
      </c>
      <c r="BG19" s="8">
        <v>57364.65</v>
      </c>
    </row>
    <row r="20" spans="1:59" x14ac:dyDescent="0.2">
      <c r="A20" s="6"/>
      <c r="B20" s="6"/>
      <c r="C20" s="7"/>
      <c r="D20" s="7"/>
      <c r="E20" s="6"/>
      <c r="F20" s="2"/>
      <c r="G20" s="1">
        <f>H20+I20</f>
        <v>918464</v>
      </c>
      <c r="H20" s="1"/>
      <c r="I20" s="1">
        <v>918464</v>
      </c>
      <c r="J20" s="2">
        <f>J$1*$G20</f>
        <v>440862.71999999997</v>
      </c>
      <c r="K20" s="2">
        <f>K$1*$H20</f>
        <v>0</v>
      </c>
      <c r="L20" s="2">
        <f>L$1*$I20</f>
        <v>440862.71999999997</v>
      </c>
      <c r="M20" s="2"/>
      <c r="N20" s="1"/>
      <c r="O20" s="2">
        <f>O$1*$G20</f>
        <v>174508.16</v>
      </c>
      <c r="P20" s="2">
        <f>P$1*$H20</f>
        <v>0</v>
      </c>
      <c r="Q20" s="2">
        <f>Q$1*$I20</f>
        <v>174508.16</v>
      </c>
      <c r="R20" s="2"/>
      <c r="S20" s="1"/>
      <c r="T20" s="2">
        <f>T$1*$G20</f>
        <v>165323.51999999999</v>
      </c>
      <c r="U20" s="2">
        <f>U$1*$H20</f>
        <v>0</v>
      </c>
      <c r="V20" s="2">
        <f>V$1*$I20</f>
        <v>165323.51999999999</v>
      </c>
      <c r="W20" s="2"/>
      <c r="X20" s="1"/>
      <c r="Y20" s="2">
        <f>Y$1*$G20</f>
        <v>3673.8560000000002</v>
      </c>
      <c r="Z20" s="2">
        <f>Z$1*$H20</f>
        <v>0</v>
      </c>
      <c r="AA20" s="2">
        <f>AA$1*$I20</f>
        <v>3673.8560000000002</v>
      </c>
      <c r="AB20" s="2"/>
      <c r="AC20" s="1"/>
      <c r="AD20" s="2">
        <f>AD$1*$G20</f>
        <v>14695.424000000001</v>
      </c>
      <c r="AE20" s="2">
        <f>AE$1*$H20</f>
        <v>0</v>
      </c>
      <c r="AF20" s="2">
        <f>AF$1*$I20</f>
        <v>14695.424000000001</v>
      </c>
      <c r="AG20" s="2"/>
      <c r="AH20" s="2"/>
      <c r="AI20" s="2">
        <f>AI$1*$G20</f>
        <v>4592.32</v>
      </c>
      <c r="AJ20" s="2">
        <f>AJ$1*$H20</f>
        <v>0</v>
      </c>
      <c r="AK20" s="2">
        <f>AK$1*$I20</f>
        <v>4592.32</v>
      </c>
      <c r="AL20" s="2"/>
      <c r="AM20" s="2"/>
      <c r="AN20" s="2">
        <f>AN$1*$G20</f>
        <v>27553.919999999998</v>
      </c>
      <c r="AO20" s="2">
        <f>AO$1*$H20</f>
        <v>0</v>
      </c>
      <c r="AP20" s="2">
        <f>AP$1*$I20</f>
        <v>27553.919999999998</v>
      </c>
      <c r="AQ20" s="2"/>
      <c r="AR20" s="2"/>
      <c r="AS20" s="2">
        <f>AS$1*$G20</f>
        <v>64292.480000000003</v>
      </c>
      <c r="AT20" s="2">
        <f>AT$1*$H20</f>
        <v>0</v>
      </c>
      <c r="AU20" s="2">
        <f>AU$1*$I20</f>
        <v>64292.480000000003</v>
      </c>
      <c r="AV20" s="2"/>
      <c r="AW20" s="2"/>
      <c r="AX20" s="2">
        <f>AX$1*$G20</f>
        <v>8266.1759999999995</v>
      </c>
      <c r="AY20" s="2">
        <f>AY$1*$H20</f>
        <v>0</v>
      </c>
      <c r="AZ20" s="2">
        <f>AZ$1*$I20</f>
        <v>8266.1759999999995</v>
      </c>
      <c r="BA20" s="2"/>
      <c r="BB20" s="2"/>
      <c r="BC20" s="2"/>
      <c r="BD20" s="2"/>
      <c r="BE20" s="2"/>
      <c r="BF20" s="2"/>
      <c r="BG20" s="2"/>
    </row>
    <row r="21" spans="1:59" x14ac:dyDescent="0.2">
      <c r="A21" s="4">
        <f>A19+1</f>
        <v>10</v>
      </c>
      <c r="B21" s="4">
        <v>310835517</v>
      </c>
      <c r="C21" s="5" t="d">
        <v>2020-03-19</v>
      </c>
      <c r="D21" s="5" t="d">
        <v>2021-03-30</v>
      </c>
      <c r="E21" s="4" t="s">
        <v>60</v>
      </c>
      <c r="F21" s="8">
        <v>4122960</v>
      </c>
      <c r="G21" s="8"/>
      <c r="H21" s="8"/>
      <c r="I21" s="8"/>
      <c r="J21" s="8">
        <v>3877652.64</v>
      </c>
      <c r="K21" s="8">
        <v>1261652.6399999999</v>
      </c>
      <c r="L21" s="8">
        <v>2616000</v>
      </c>
      <c r="M21" s="8">
        <v>785000</v>
      </c>
      <c r="N21" s="8">
        <v>3092652.64</v>
      </c>
      <c r="O21" s="8">
        <v>1534904.17</v>
      </c>
      <c r="P21" s="8">
        <v>0.169999999925494</v>
      </c>
      <c r="Q21" s="8">
        <v>1534904</v>
      </c>
      <c r="R21" s="8">
        <v>0</v>
      </c>
      <c r="S21" s="8">
        <v>1534904.17</v>
      </c>
      <c r="T21" s="8">
        <v>1454119.74</v>
      </c>
      <c r="U21" s="8">
        <v>963619.74</v>
      </c>
      <c r="V21" s="8">
        <v>490500</v>
      </c>
      <c r="W21" s="8">
        <v>0</v>
      </c>
      <c r="X21" s="8">
        <v>1454119.74</v>
      </c>
      <c r="Y21" s="8">
        <v>32313.772000000001</v>
      </c>
      <c r="Z21" s="8">
        <v>21413.772000000001</v>
      </c>
      <c r="AA21" s="8">
        <v>10900</v>
      </c>
      <c r="AB21" s="8">
        <v>0</v>
      </c>
      <c r="AC21" s="8">
        <v>32313.772000000001</v>
      </c>
      <c r="AD21" s="8">
        <v>129255.088</v>
      </c>
      <c r="AE21" s="8">
        <v>42055.088000000003</v>
      </c>
      <c r="AF21" s="8">
        <v>87200</v>
      </c>
      <c r="AG21" s="8">
        <v>69749</v>
      </c>
      <c r="AH21" s="8">
        <v>59506.088000000003</v>
      </c>
      <c r="AI21" s="8"/>
      <c r="AJ21" s="8"/>
      <c r="AK21" s="8"/>
      <c r="AL21" s="8"/>
      <c r="AM21" s="8"/>
      <c r="AN21" s="8">
        <v>220240.935</v>
      </c>
      <c r="AO21" s="8">
        <v>119190.935</v>
      </c>
      <c r="AP21" s="8">
        <v>101050</v>
      </c>
      <c r="AQ21" s="8">
        <v>86898</v>
      </c>
      <c r="AR21" s="8">
        <v>133342.935</v>
      </c>
      <c r="AS21" s="8">
        <v>565491.01</v>
      </c>
      <c r="AT21" s="8">
        <v>374741.01</v>
      </c>
      <c r="AU21" s="8">
        <v>190750</v>
      </c>
      <c r="AV21" s="8">
        <v>0</v>
      </c>
      <c r="AW21" s="8">
        <v>565491.01</v>
      </c>
      <c r="AX21" s="8">
        <v>66072.28</v>
      </c>
      <c r="AY21" s="8">
        <v>41547.279999999999</v>
      </c>
      <c r="AZ21" s="8">
        <v>24525</v>
      </c>
      <c r="BA21" s="8">
        <v>2050</v>
      </c>
      <c r="BB21" s="8">
        <v>64022.28</v>
      </c>
      <c r="BC21" s="8">
        <v>439879.76</v>
      </c>
      <c r="BD21" s="8">
        <v>276379.76</v>
      </c>
      <c r="BE21" s="8">
        <v>163500</v>
      </c>
      <c r="BF21" s="8">
        <v>0</v>
      </c>
      <c r="BG21" s="8">
        <v>439879.76</v>
      </c>
    </row>
    <row r="22" spans="1:59" x14ac:dyDescent="0.2">
      <c r="A22" s="6"/>
      <c r="B22" s="6"/>
      <c r="C22" s="7"/>
      <c r="D22" s="7"/>
      <c r="E22" s="6"/>
      <c r="F22" s="2"/>
      <c r="G22" s="1">
        <f>H22+I22</f>
        <v>8078443</v>
      </c>
      <c r="H22" s="1">
        <v>2628443</v>
      </c>
      <c r="I22" s="1">
        <v>5450000</v>
      </c>
      <c r="J22" s="2">
        <f>J$1*$G22</f>
        <v>3877652.6399999997</v>
      </c>
      <c r="K22" s="2">
        <f>K$1*$H22</f>
        <v>1261652.6399999999</v>
      </c>
      <c r="L22" s="2">
        <f>L$1*$I22</f>
        <v>2616000</v>
      </c>
      <c r="M22" s="2"/>
      <c r="N22" s="1"/>
      <c r="O22" s="2">
        <f>O$1*$G22</f>
        <v>1534904.17</v>
      </c>
      <c r="P22" s="2">
        <f>P$1*$H22</f>
        <v>499404.17</v>
      </c>
      <c r="Q22" s="2">
        <f>Q$1*$I22</f>
        <v>1035500</v>
      </c>
      <c r="R22" s="2"/>
      <c r="S22" s="1"/>
      <c r="T22" s="2">
        <f>T$1*$G22</f>
        <v>1454119.74</v>
      </c>
      <c r="U22" s="2">
        <f>U$1*$H22</f>
        <v>473119.74</v>
      </c>
      <c r="V22" s="2">
        <f>V$1*$I22</f>
        <v>981000</v>
      </c>
      <c r="W22" s="2"/>
      <c r="X22" s="1"/>
      <c r="Y22" s="2">
        <f>Y$1*$G22</f>
        <v>32313.772000000001</v>
      </c>
      <c r="Z22" s="2">
        <f>Z$1*$H22</f>
        <v>10513.772000000001</v>
      </c>
      <c r="AA22" s="2">
        <f>AA$1*$I22</f>
        <v>21800</v>
      </c>
      <c r="AB22" s="2"/>
      <c r="AC22" s="1"/>
      <c r="AD22" s="2">
        <f>AD$1*$G22</f>
        <v>129255.088</v>
      </c>
      <c r="AE22" s="2">
        <f>AE$1*$H22</f>
        <v>42055.088000000003</v>
      </c>
      <c r="AF22" s="2">
        <f>AF$1*$I22</f>
        <v>87200</v>
      </c>
      <c r="AG22" s="2"/>
      <c r="AH22" s="2"/>
      <c r="AI22" s="2">
        <f>AI$1*$G22</f>
        <v>40392.215000000004</v>
      </c>
      <c r="AJ22" s="2">
        <f>AJ$1*$H22</f>
        <v>13142.215</v>
      </c>
      <c r="AK22" s="2">
        <f>AK$1*$I22</f>
        <v>27250</v>
      </c>
      <c r="AL22" s="2"/>
      <c r="AM22" s="2"/>
      <c r="AN22" s="2">
        <f>AN$1*$G22</f>
        <v>242353.28999999998</v>
      </c>
      <c r="AO22" s="2">
        <f>AO$1*$H22</f>
        <v>78853.289999999994</v>
      </c>
      <c r="AP22" s="2">
        <f>AP$1*$I22</f>
        <v>163500</v>
      </c>
      <c r="AQ22" s="2"/>
      <c r="AR22" s="2"/>
      <c r="AS22" s="2">
        <f>AS$1*$G22</f>
        <v>565491.01</v>
      </c>
      <c r="AT22" s="2">
        <f>AT$1*$H22</f>
        <v>183991.01</v>
      </c>
      <c r="AU22" s="2">
        <f>AU$1*$I22</f>
        <v>381500.00000000006</v>
      </c>
      <c r="AV22" s="2"/>
      <c r="AW22" s="2"/>
      <c r="AX22" s="2">
        <f>AX$1*$G22</f>
        <v>72705.986999999994</v>
      </c>
      <c r="AY22" s="2">
        <f>AY$1*$H22</f>
        <v>23655.986999999997</v>
      </c>
      <c r="AZ22" s="2">
        <f>AZ$1*$I22</f>
        <v>49049.999999999993</v>
      </c>
      <c r="BA22" s="2"/>
      <c r="BB22" s="2"/>
      <c r="BC22" s="2"/>
      <c r="BD22" s="2"/>
      <c r="BE22" s="2"/>
      <c r="BF22" s="2"/>
      <c r="BG22" s="2"/>
    </row>
    <row r="23" spans="1:59" x14ac:dyDescent="0.2">
      <c r="A23" s="4">
        <f>A21+1</f>
        <v>11</v>
      </c>
      <c r="B23" s="4">
        <v>310836589</v>
      </c>
      <c r="C23" s="5" t="d">
        <v>2020-06-09</v>
      </c>
      <c r="D23" s="5" t="d">
        <v>2021-06-30</v>
      </c>
      <c r="E23" s="4" t="s">
        <v>61</v>
      </c>
      <c r="F23" s="8">
        <v>4107564</v>
      </c>
      <c r="G23" s="8"/>
      <c r="H23" s="8"/>
      <c r="I23" s="8"/>
      <c r="J23" s="8">
        <v>4262779.6789999995</v>
      </c>
      <c r="K23" s="8">
        <v>1921344.67899999</v>
      </c>
      <c r="L23" s="8">
        <v>2341435</v>
      </c>
      <c r="M23" s="8">
        <v>881775</v>
      </c>
      <c r="N23" s="8">
        <v>3381004.6789999902</v>
      </c>
      <c r="O23" s="8">
        <v>1687350.29</v>
      </c>
      <c r="P23" s="8">
        <v>0.29000000003725201</v>
      </c>
      <c r="Q23" s="8">
        <v>1687350</v>
      </c>
      <c r="R23" s="8">
        <v>0</v>
      </c>
      <c r="S23" s="8">
        <v>1687350.29</v>
      </c>
      <c r="T23" s="8">
        <v>1598542.38</v>
      </c>
      <c r="U23" s="8">
        <v>720504.37999999896</v>
      </c>
      <c r="V23" s="8">
        <v>878038</v>
      </c>
      <c r="W23" s="8">
        <v>0</v>
      </c>
      <c r="X23" s="8">
        <v>1598542.38</v>
      </c>
      <c r="Y23" s="8">
        <v>35523.163999999997</v>
      </c>
      <c r="Z23" s="8">
        <v>25767.663999999899</v>
      </c>
      <c r="AA23" s="8">
        <v>9755.5</v>
      </c>
      <c r="AB23" s="8">
        <v>0</v>
      </c>
      <c r="AC23" s="8">
        <v>35523.163999999997</v>
      </c>
      <c r="AD23" s="8">
        <v>142092.65599999999</v>
      </c>
      <c r="AE23" s="8">
        <v>64045.655999999901</v>
      </c>
      <c r="AF23" s="8">
        <v>78047</v>
      </c>
      <c r="AG23" s="8">
        <v>78043</v>
      </c>
      <c r="AH23" s="8">
        <v>64049.655999999901</v>
      </c>
      <c r="AI23" s="8"/>
      <c r="AJ23" s="8"/>
      <c r="AK23" s="8"/>
      <c r="AL23" s="8"/>
      <c r="AM23" s="8"/>
      <c r="AN23" s="8">
        <v>266423.72899999999</v>
      </c>
      <c r="AO23" s="8">
        <v>193254.72899999999</v>
      </c>
      <c r="AP23" s="8">
        <v>73169</v>
      </c>
      <c r="AQ23" s="8">
        <v>65127</v>
      </c>
      <c r="AR23" s="8">
        <v>201296.72899999999</v>
      </c>
      <c r="AS23" s="8">
        <v>621655.37</v>
      </c>
      <c r="AT23" s="8">
        <v>450925.87</v>
      </c>
      <c r="AU23" s="8">
        <v>170729.5</v>
      </c>
      <c r="AV23" s="8">
        <v>0</v>
      </c>
      <c r="AW23" s="8">
        <v>621655.37</v>
      </c>
      <c r="AX23" s="8">
        <v>79927.118000000002</v>
      </c>
      <c r="AY23" s="8">
        <v>55402.118000000002</v>
      </c>
      <c r="AZ23" s="8">
        <v>24525</v>
      </c>
      <c r="BA23" s="8">
        <v>0</v>
      </c>
      <c r="BB23" s="8">
        <v>79927.118000000002</v>
      </c>
      <c r="BC23" s="8">
        <v>621396.27</v>
      </c>
      <c r="BD23" s="8">
        <v>577495.27</v>
      </c>
      <c r="BE23" s="8">
        <v>43901</v>
      </c>
      <c r="BF23" s="8">
        <v>0</v>
      </c>
      <c r="BG23" s="8">
        <v>621396.27</v>
      </c>
    </row>
    <row r="24" spans="1:59" x14ac:dyDescent="0.2">
      <c r="A24" s="6"/>
      <c r="B24" s="6"/>
      <c r="C24" s="7"/>
      <c r="D24" s="7"/>
      <c r="E24" s="6"/>
      <c r="F24" s="2"/>
      <c r="G24" s="1">
        <f>H24+I24</f>
        <v>8880790</v>
      </c>
      <c r="H24" s="1">
        <v>4002801</v>
      </c>
      <c r="I24" s="1">
        <v>4877989</v>
      </c>
      <c r="J24" s="2">
        <f>J$1*$G24</f>
        <v>4262779.2</v>
      </c>
      <c r="K24" s="2">
        <f>K$1*$H24</f>
        <v>1921344.48</v>
      </c>
      <c r="L24" s="2">
        <f>L$1*$I24</f>
        <v>2341434.7199999997</v>
      </c>
      <c r="M24" s="2"/>
      <c r="N24" s="1"/>
      <c r="O24" s="2">
        <f>O$1*$G24</f>
        <v>1687350.1</v>
      </c>
      <c r="P24" s="2">
        <f>P$1*$H24</f>
        <v>760532.19000000006</v>
      </c>
      <c r="Q24" s="2">
        <f>Q$1*$I24</f>
        <v>926817.91</v>
      </c>
      <c r="R24" s="2"/>
      <c r="S24" s="1"/>
      <c r="T24" s="2">
        <f>T$1*$G24</f>
        <v>1598542.2</v>
      </c>
      <c r="U24" s="2">
        <f>U$1*$H24</f>
        <v>720504.17999999993</v>
      </c>
      <c r="V24" s="2">
        <f>V$1*$I24</f>
        <v>878038.02</v>
      </c>
      <c r="W24" s="2"/>
      <c r="X24" s="1"/>
      <c r="Y24" s="2">
        <f>Y$1*$G24</f>
        <v>35523.160000000003</v>
      </c>
      <c r="Z24" s="2">
        <f>Z$1*$H24</f>
        <v>16011.204</v>
      </c>
      <c r="AA24" s="2">
        <f>AA$1*$I24</f>
        <v>19511.956000000002</v>
      </c>
      <c r="AB24" s="2"/>
      <c r="AC24" s="1"/>
      <c r="AD24" s="2">
        <f>AD$1*$G24</f>
        <v>142092.64000000001</v>
      </c>
      <c r="AE24" s="2">
        <f>AE$1*$H24</f>
        <v>64044.815999999999</v>
      </c>
      <c r="AF24" s="2">
        <f>AF$1*$I24</f>
        <v>78047.824000000008</v>
      </c>
      <c r="AG24" s="2"/>
      <c r="AH24" s="2"/>
      <c r="AI24" s="2">
        <f>AI$1*$G24</f>
        <v>44403.950000000004</v>
      </c>
      <c r="AJ24" s="2">
        <f>AJ$1*$H24</f>
        <v>20014.005000000001</v>
      </c>
      <c r="AK24" s="2">
        <f>AK$1*$I24</f>
        <v>24389.945</v>
      </c>
      <c r="AL24" s="2"/>
      <c r="AM24" s="2"/>
      <c r="AN24" s="2">
        <f>AN$1*$G24</f>
        <v>266423.7</v>
      </c>
      <c r="AO24" s="2">
        <f>AO$1*$H24</f>
        <v>120084.03</v>
      </c>
      <c r="AP24" s="2">
        <f>AP$1*$I24</f>
        <v>146339.66999999998</v>
      </c>
      <c r="AQ24" s="2"/>
      <c r="AR24" s="2"/>
      <c r="AS24" s="2">
        <f>AS$1*$G24</f>
        <v>621655.30000000005</v>
      </c>
      <c r="AT24" s="2">
        <f>AT$1*$H24</f>
        <v>280196.07</v>
      </c>
      <c r="AU24" s="2">
        <f>AU$1*$I24</f>
        <v>341459.23000000004</v>
      </c>
      <c r="AV24" s="2"/>
      <c r="AW24" s="2"/>
      <c r="AX24" s="2">
        <f>AX$1*$G24</f>
        <v>79927.11</v>
      </c>
      <c r="AY24" s="2">
        <f>AY$1*$H24</f>
        <v>36025.208999999995</v>
      </c>
      <c r="AZ24" s="2">
        <f>AZ$1*$I24</f>
        <v>43901.900999999998</v>
      </c>
      <c r="BA24" s="2"/>
      <c r="BB24" s="2"/>
      <c r="BC24" s="2"/>
      <c r="BD24" s="2"/>
      <c r="BE24" s="2"/>
      <c r="BF24" s="2"/>
      <c r="BG24" s="2"/>
    </row>
    <row r="25" spans="1:59" x14ac:dyDescent="0.2">
      <c r="A25" s="4"/>
      <c r="B25" s="4"/>
      <c r="C25" s="4"/>
      <c r="D25" s="4"/>
      <c r="E25" s="4"/>
      <c r="F25" s="8"/>
      <c r="G25" s="8"/>
      <c r="H25" s="8"/>
      <c r="I25" s="8"/>
      <c r="J25" s="8"/>
      <c r="K25" s="8"/>
      <c r="L25" s="8"/>
      <c r="M25" s="8"/>
      <c r="N25" s="9">
        <f>SUM(N3:N24)</f>
        <v>10571077.855999989</v>
      </c>
      <c r="O25" s="8"/>
      <c r="P25" s="8"/>
      <c r="Q25" s="8"/>
      <c r="R25" s="8"/>
      <c r="S25" s="9">
        <f>SUM(S3:S24)</f>
        <v>3222258.9550000001</v>
      </c>
      <c r="T25" s="8"/>
      <c r="U25" s="8"/>
      <c r="V25" s="8"/>
      <c r="W25" s="8"/>
      <c r="X25" s="9">
        <f>SUM(X3:X24)</f>
        <v>3065163.0659999996</v>
      </c>
      <c r="Y25" s="8"/>
      <c r="Z25" s="8"/>
      <c r="AA25" s="8"/>
      <c r="AB25" s="8"/>
      <c r="AC25" s="9">
        <f>SUM(AC3:AC24)</f>
        <v>107638.44899999999</v>
      </c>
      <c r="AD25" s="8"/>
      <c r="AE25" s="8"/>
      <c r="AF25" s="8"/>
      <c r="AG25" s="8"/>
      <c r="AH25" s="9">
        <f>SUM(AH3:AH24)</f>
        <v>195654.59899999987</v>
      </c>
      <c r="AI25" s="8"/>
      <c r="AJ25" s="8"/>
      <c r="AK25" s="8"/>
      <c r="AL25" s="8"/>
      <c r="AM25" s="9">
        <f>SUM(AM3:AM24)</f>
        <v>26321.474999999995</v>
      </c>
      <c r="AN25" s="8"/>
      <c r="AO25" s="8"/>
      <c r="AP25" s="8"/>
      <c r="AQ25" s="8"/>
      <c r="AR25" s="9">
        <f>SUM(AR3:AR24)</f>
        <v>468857.00399999996</v>
      </c>
      <c r="AS25" s="8"/>
      <c r="AT25" s="8"/>
      <c r="AU25" s="8"/>
      <c r="AV25" s="8"/>
      <c r="AW25" s="9">
        <f>SUM(AW3:AW24)</f>
        <v>1204924.54</v>
      </c>
      <c r="AX25" s="8"/>
      <c r="AY25" s="8"/>
      <c r="AZ25" s="8"/>
      <c r="BA25" s="8"/>
      <c r="BB25" s="9">
        <f>SUM(BB3:BB24)</f>
        <v>184454.08799999999</v>
      </c>
      <c r="BC25" s="8"/>
      <c r="BD25" s="8"/>
      <c r="BE25" s="8"/>
      <c r="BF25" s="8"/>
      <c r="BG25" s="9">
        <f>SUM(BG3:BG24)</f>
        <v>1525397.0020000001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biscuit_conversion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2020-11-21T04:28:29Z</dcterms:created>
  <dcterms:modified xsi:type="dcterms:W3CDTF">2020-11-21T04:29:00Z</dcterms:modified>
</cp:coreProperties>
</file>