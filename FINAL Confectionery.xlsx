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PycharmProjects/lmanagement/"/>
    </mc:Choice>
  </mc:AlternateContent>
  <xr:revisionPtr revIDLastSave="0" documentId="8_{7E5E8FB6-721F-7548-A657-A45614FDE37A}" xr6:coauthVersionLast="45" xr6:coauthVersionMax="45" xr10:uidLastSave="{00000000-0000-0000-0000-000000000000}"/>
  <bookViews>
    <workbookView xWindow="380" yWindow="460" windowWidth="28040" windowHeight="16420"/>
  </bookViews>
  <sheets>
    <sheet name="confectionery_convers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37" i="1" l="1"/>
  <c r="A39" i="1" s="1"/>
  <c r="A33" i="1"/>
  <c r="A35" i="1" s="1"/>
  <c r="A29" i="1"/>
  <c r="A31" i="1" s="1"/>
  <c r="A25" i="1"/>
  <c r="A27" i="1" s="1"/>
  <c r="A21" i="1"/>
  <c r="A23" i="1" s="1"/>
  <c r="A17" i="1"/>
  <c r="A19" i="1" s="1"/>
  <c r="A13" i="1"/>
  <c r="A15" i="1" s="1"/>
  <c r="A9" i="1"/>
  <c r="A11" i="1" s="1"/>
  <c r="A7" i="1"/>
  <c r="A5" i="1"/>
  <c r="Q38" i="1"/>
  <c r="P38" i="1"/>
  <c r="O38" i="1"/>
  <c r="AF22" i="1"/>
  <c r="AE22" i="1"/>
  <c r="AD22" i="1"/>
  <c r="H40" i="1"/>
  <c r="Z40" i="1" s="1"/>
  <c r="H38" i="1"/>
  <c r="U38" i="1" s="1"/>
  <c r="H36" i="1"/>
  <c r="K36" i="1" s="1"/>
  <c r="G30" i="1"/>
  <c r="Y30" i="1" s="1"/>
  <c r="G32" i="1"/>
  <c r="J32" i="1" s="1"/>
  <c r="I28" i="1"/>
  <c r="AF28" i="1" s="1"/>
  <c r="I26" i="1"/>
  <c r="L26" i="1" s="1"/>
  <c r="I24" i="1"/>
  <c r="AA24" i="1" s="1"/>
  <c r="I20" i="1"/>
  <c r="V20" i="1" s="1"/>
  <c r="I18" i="1"/>
  <c r="AF18" i="1" s="1"/>
  <c r="I16" i="1"/>
  <c r="AA16" i="1" s="1"/>
  <c r="I14" i="1"/>
  <c r="L14" i="1" s="1"/>
  <c r="I12" i="1"/>
  <c r="V12" i="1" s="1"/>
  <c r="AF40" i="1"/>
  <c r="AD40" i="1"/>
  <c r="AA40" i="1"/>
  <c r="Y40" i="1"/>
  <c r="V40" i="1"/>
  <c r="T40" i="1"/>
  <c r="Q40" i="1"/>
  <c r="O40" i="1"/>
  <c r="L40" i="1"/>
  <c r="J40" i="1"/>
  <c r="AF38" i="1"/>
  <c r="AD38" i="1"/>
  <c r="AA38" i="1"/>
  <c r="Y38" i="1"/>
  <c r="V38" i="1"/>
  <c r="T38" i="1"/>
  <c r="L38" i="1"/>
  <c r="J38" i="1"/>
  <c r="AF36" i="1"/>
  <c r="AE36" i="1"/>
  <c r="AD36" i="1"/>
  <c r="AA36" i="1"/>
  <c r="Y36" i="1"/>
  <c r="V36" i="1"/>
  <c r="T36" i="1"/>
  <c r="Q36" i="1"/>
  <c r="P36" i="1"/>
  <c r="O36" i="1"/>
  <c r="L36" i="1"/>
  <c r="J36" i="1"/>
  <c r="AF34" i="1"/>
  <c r="AE34" i="1"/>
  <c r="AD34" i="1"/>
  <c r="AA34" i="1"/>
  <c r="Z34" i="1"/>
  <c r="Y34" i="1"/>
  <c r="V34" i="1"/>
  <c r="U34" i="1"/>
  <c r="T34" i="1"/>
  <c r="Q34" i="1"/>
  <c r="P34" i="1"/>
  <c r="O34" i="1"/>
  <c r="L34" i="1"/>
  <c r="K34" i="1"/>
  <c r="J34" i="1"/>
  <c r="AF32" i="1"/>
  <c r="AE32" i="1"/>
  <c r="AD32" i="1"/>
  <c r="AA32" i="1"/>
  <c r="Z32" i="1"/>
  <c r="Y32" i="1"/>
  <c r="V32" i="1"/>
  <c r="U32" i="1"/>
  <c r="Q32" i="1"/>
  <c r="P32" i="1"/>
  <c r="O32" i="1"/>
  <c r="L32" i="1"/>
  <c r="K32" i="1"/>
  <c r="AF30" i="1"/>
  <c r="AE30" i="1"/>
  <c r="AD30" i="1"/>
  <c r="AA30" i="1"/>
  <c r="Z30" i="1"/>
  <c r="V30" i="1"/>
  <c r="U30" i="1"/>
  <c r="Q30" i="1"/>
  <c r="P30" i="1"/>
  <c r="O30" i="1"/>
  <c r="L30" i="1"/>
  <c r="K30" i="1"/>
  <c r="AE28" i="1"/>
  <c r="AD28" i="1"/>
  <c r="Z28" i="1"/>
  <c r="Y28" i="1"/>
  <c r="V28" i="1"/>
  <c r="U28" i="1"/>
  <c r="T28" i="1"/>
  <c r="P28" i="1"/>
  <c r="O28" i="1"/>
  <c r="L28" i="1"/>
  <c r="K28" i="1"/>
  <c r="J28" i="1"/>
  <c r="AE26" i="1"/>
  <c r="AD26" i="1"/>
  <c r="Z26" i="1"/>
  <c r="Y26" i="1"/>
  <c r="U26" i="1"/>
  <c r="T26" i="1"/>
  <c r="P26" i="1"/>
  <c r="O26" i="1"/>
  <c r="K26" i="1"/>
  <c r="J26" i="1"/>
  <c r="AE24" i="1"/>
  <c r="AD24" i="1"/>
  <c r="Z24" i="1"/>
  <c r="Y24" i="1"/>
  <c r="U24" i="1"/>
  <c r="T24" i="1"/>
  <c r="Q24" i="1"/>
  <c r="P24" i="1"/>
  <c r="O24" i="1"/>
  <c r="K24" i="1"/>
  <c r="J24" i="1"/>
  <c r="AA22" i="1"/>
  <c r="Z22" i="1"/>
  <c r="Y22" i="1"/>
  <c r="V22" i="1"/>
  <c r="U22" i="1"/>
  <c r="T22" i="1"/>
  <c r="Q22" i="1"/>
  <c r="P22" i="1"/>
  <c r="O22" i="1"/>
  <c r="L22" i="1"/>
  <c r="K22" i="1"/>
  <c r="J22" i="1"/>
  <c r="AE20" i="1"/>
  <c r="AD20" i="1"/>
  <c r="Z20" i="1"/>
  <c r="Y20" i="1"/>
  <c r="U20" i="1"/>
  <c r="T20" i="1"/>
  <c r="P20" i="1"/>
  <c r="O20" i="1"/>
  <c r="K20" i="1"/>
  <c r="J20" i="1"/>
  <c r="AE18" i="1"/>
  <c r="AD18" i="1"/>
  <c r="Z18" i="1"/>
  <c r="Y18" i="1"/>
  <c r="U18" i="1"/>
  <c r="T18" i="1"/>
  <c r="P18" i="1"/>
  <c r="O18" i="1"/>
  <c r="K18" i="1"/>
  <c r="J18" i="1"/>
  <c r="AE16" i="1"/>
  <c r="AD16" i="1"/>
  <c r="Z16" i="1"/>
  <c r="Y16" i="1"/>
  <c r="U16" i="1"/>
  <c r="T16" i="1"/>
  <c r="P16" i="1"/>
  <c r="O16" i="1"/>
  <c r="K16" i="1"/>
  <c r="J16" i="1"/>
  <c r="AE14" i="1"/>
  <c r="AD14" i="1"/>
  <c r="AA14" i="1"/>
  <c r="Z14" i="1"/>
  <c r="Y14" i="1"/>
  <c r="U14" i="1"/>
  <c r="T14" i="1"/>
  <c r="P14" i="1"/>
  <c r="O14" i="1"/>
  <c r="K14" i="1"/>
  <c r="J14" i="1"/>
  <c r="AE12" i="1"/>
  <c r="AD12" i="1"/>
  <c r="Z12" i="1"/>
  <c r="Y12" i="1"/>
  <c r="U12" i="1"/>
  <c r="T12" i="1"/>
  <c r="P12" i="1"/>
  <c r="O12" i="1"/>
  <c r="K12" i="1"/>
  <c r="J12" i="1"/>
  <c r="AF10" i="1"/>
  <c r="AE10" i="1"/>
  <c r="AD10" i="1"/>
  <c r="AA10" i="1"/>
  <c r="Z10" i="1"/>
  <c r="Y10" i="1"/>
  <c r="V10" i="1"/>
  <c r="U10" i="1"/>
  <c r="T10" i="1"/>
  <c r="Q10" i="1"/>
  <c r="P10" i="1"/>
  <c r="O10" i="1"/>
  <c r="L10" i="1"/>
  <c r="K10" i="1"/>
  <c r="J10" i="1"/>
  <c r="AF8" i="1"/>
  <c r="AE8" i="1"/>
  <c r="AD8" i="1"/>
  <c r="AA8" i="1"/>
  <c r="Z8" i="1"/>
  <c r="Y8" i="1"/>
  <c r="V8" i="1"/>
  <c r="U8" i="1"/>
  <c r="T8" i="1"/>
  <c r="Q8" i="1"/>
  <c r="P8" i="1"/>
  <c r="O8" i="1"/>
  <c r="L8" i="1"/>
  <c r="K8" i="1"/>
  <c r="J8" i="1"/>
  <c r="AF6" i="1"/>
  <c r="AE6" i="1"/>
  <c r="AD6" i="1"/>
  <c r="AA6" i="1"/>
  <c r="Z6" i="1"/>
  <c r="Y6" i="1"/>
  <c r="V6" i="1"/>
  <c r="U6" i="1"/>
  <c r="T6" i="1"/>
  <c r="Q6" i="1"/>
  <c r="P6" i="1"/>
  <c r="O6" i="1"/>
  <c r="L6" i="1"/>
  <c r="K6" i="1"/>
  <c r="J6" i="1"/>
  <c r="AF4" i="1"/>
  <c r="AE4" i="1"/>
  <c r="AD4" i="1"/>
  <c r="AA4" i="1"/>
  <c r="Z4" i="1"/>
  <c r="Y4" i="1"/>
  <c r="V4" i="1"/>
  <c r="U4" i="1"/>
  <c r="T4" i="1"/>
  <c r="Q4" i="1"/>
  <c r="P4" i="1"/>
  <c r="O4" i="1"/>
  <c r="J4" i="1"/>
  <c r="K4" i="1"/>
  <c r="L4" i="1"/>
  <c r="AM41" i="1"/>
  <c r="AC41" i="1"/>
  <c r="N41" i="1"/>
  <c r="AH37" i="1"/>
  <c r="AH41" i="1" s="1"/>
  <c r="X37" i="1"/>
  <c r="X41" i="1" s="1"/>
  <c r="S37" i="1"/>
  <c r="S41" i="1" s="1"/>
  <c r="T32" i="1" l="1"/>
  <c r="Z36" i="1"/>
  <c r="U36" i="1"/>
  <c r="AE38" i="1"/>
  <c r="K38" i="1"/>
  <c r="V24" i="1"/>
  <c r="Z38" i="1"/>
  <c r="AA20" i="1"/>
  <c r="L20" i="1"/>
  <c r="U40" i="1"/>
  <c r="P40" i="1"/>
  <c r="AE40" i="1"/>
  <c r="K40" i="1"/>
  <c r="L18" i="1"/>
  <c r="V18" i="1"/>
  <c r="L16" i="1"/>
  <c r="AF16" i="1"/>
  <c r="Q16" i="1"/>
  <c r="AF24" i="1"/>
  <c r="L24" i="1"/>
  <c r="T30" i="1"/>
  <c r="J30" i="1"/>
  <c r="V16" i="1"/>
  <c r="AA18" i="1"/>
  <c r="Q18" i="1"/>
  <c r="AA28" i="1"/>
  <c r="Q28" i="1"/>
  <c r="AF26" i="1"/>
  <c r="V26" i="1"/>
  <c r="Q26" i="1"/>
  <c r="AA26" i="1"/>
  <c r="Q20" i="1"/>
  <c r="AF20" i="1"/>
  <c r="Q14" i="1"/>
  <c r="V14" i="1"/>
  <c r="AF14" i="1"/>
  <c r="AA12" i="1"/>
  <c r="Q12" i="1"/>
  <c r="L12" i="1"/>
  <c r="AF12" i="1"/>
</calcChain>
</file>

<file path=xl/sharedStrings.xml><?xml version="1.0" encoding="utf-8"?>
<sst xmlns="http://purl.oclc.org/ooxml/spreadsheetml/main" count="105" uniqueCount="50">
  <si>
    <t>dfia</t>
  </si>
  <si>
    <t>dfia_dt</t>
  </si>
  <si>
    <t>dfia_exp</t>
  </si>
  <si>
    <t>exporter</t>
  </si>
  <si>
    <t xml:space="preserve"> balance_cif </t>
  </si>
  <si>
    <t xml:space="preserve"> sugar_total </t>
  </si>
  <si>
    <t xml:space="preserve"> sugar_new </t>
  </si>
  <si>
    <t xml:space="preserve"> sugar_old </t>
  </si>
  <si>
    <t xml:space="preserve"> sugar_debited_quantity </t>
  </si>
  <si>
    <t xml:space="preserve"> sugar_bal </t>
  </si>
  <si>
    <t xml:space="preserve"> juice_total </t>
  </si>
  <si>
    <t xml:space="preserve"> juice_new </t>
  </si>
  <si>
    <t xml:space="preserve"> juice_old </t>
  </si>
  <si>
    <t xml:space="preserve"> juice_debited_quantity </t>
  </si>
  <si>
    <t xml:space="preserve"> juice_bal </t>
  </si>
  <si>
    <t xml:space="preserve"> tartaric_total </t>
  </si>
  <si>
    <t xml:space="preserve"> tartaric_new </t>
  </si>
  <si>
    <t xml:space="preserve"> tartaric_old </t>
  </si>
  <si>
    <t xml:space="preserve"> tartaric_debited_quantity </t>
  </si>
  <si>
    <t xml:space="preserve"> tartaric_bal </t>
  </si>
  <si>
    <t xml:space="preserve"> essential_total </t>
  </si>
  <si>
    <t xml:space="preserve"> essential_new </t>
  </si>
  <si>
    <t xml:space="preserve"> essential_old </t>
  </si>
  <si>
    <t xml:space="preserve"> essential_debited_quantity </t>
  </si>
  <si>
    <t xml:space="preserve"> essential_bal </t>
  </si>
  <si>
    <t xml:space="preserve"> oci_total </t>
  </si>
  <si>
    <t xml:space="preserve"> oci_new </t>
  </si>
  <si>
    <t xml:space="preserve"> oci_old </t>
  </si>
  <si>
    <t xml:space="preserve"> oci_debited_quantity </t>
  </si>
  <si>
    <t xml:space="preserve"> oci_bal </t>
  </si>
  <si>
    <t xml:space="preserve"> pp_total </t>
  </si>
  <si>
    <t xml:space="preserve"> pp_new </t>
  </si>
  <si>
    <t xml:space="preserve"> pp_old </t>
  </si>
  <si>
    <t xml:space="preserve"> pp_debited_quantity </t>
  </si>
  <si>
    <t xml:space="preserve"> pp_bal </t>
  </si>
  <si>
    <t>VIVA FOOD PRODUCTS</t>
  </si>
  <si>
    <t>RANI INTERNATIONAL</t>
  </si>
  <si>
    <t xml:space="preserve"> -   </t>
  </si>
  <si>
    <t>RAMA EXPORTS</t>
  </si>
  <si>
    <t>VANILA FOOD PRODUCTS</t>
  </si>
  <si>
    <t xml:space="preserve">PARLE PRODUCTS PVT. </t>
  </si>
  <si>
    <t>V A GLOBAL BUSINESS</t>
  </si>
  <si>
    <t xml:space="preserve">VIPUL KUMAR TRADING </t>
  </si>
  <si>
    <t>VIHANG FOOD Industri</t>
  </si>
  <si>
    <t xml:space="preserve">KRISH FOOD INDUSTRY </t>
  </si>
  <si>
    <t>NILONS ENTERPRISES P</t>
  </si>
  <si>
    <t>total</t>
  </si>
  <si>
    <t>new</t>
  </si>
  <si>
    <t>old</t>
  </si>
  <si>
    <t>sr_no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</si>
</sst>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43" fontId="16" fillId="0" borderId="10" xfId="1" applyFont="1" applyBorder="1"/>
    <xf numFmtId="43" fontId="0" fillId="0" borderId="10" xfId="1" applyFont="1" applyBorder="1"/>
    <xf numFmtId="43" fontId="0" fillId="33" borderId="11" xfId="1" applyFont="1" applyFill="1" applyBorder="1"/>
    <xf numFmtId="43" fontId="0" fillId="33" borderId="10" xfId="1" applyFont="1" applyFill="1" applyBorder="1"/>
    <xf numFmtId="43" fontId="0" fillId="0" borderId="0" xfId="1" applyFont="1"/>
    <xf numFmtId="14" fontId="0" fillId="33" borderId="10" xfId="0" applyNumberFormat="1" applyFill="1" applyBorder="1"/>
    <xf numFmtId="0" fontId="0" fillId="34" borderId="10" xfId="0" applyFill="1" applyBorder="1"/>
    <xf numFmtId="14" fontId="0" fillId="34" borderId="10" xfId="0" applyNumberFormat="1" applyFill="1" applyBorder="1"/>
    <xf numFmtId="43" fontId="0" fillId="34" borderId="10" xfId="1" applyFont="1" applyFill="1" applyBorder="1"/>
    <xf numFmtId="0" fontId="0" fillId="34" borderId="0" xfId="0" applyFill="1"/>
    <xf numFmtId="43" fontId="16" fillId="33" borderId="10" xfId="1" applyFont="1" applyFill="1" applyBorder="1"/>
    <xf numFmtId="43" fontId="0" fillId="0" borderId="11" xfId="1" applyFont="1" applyFill="1" applyBorder="1"/>
    <xf numFmtId="43" fontId="16" fillId="34" borderId="10" xfId="1" applyFont="1" applyFill="1" applyBorder="1"/>
    <xf numFmtId="43" fontId="0" fillId="0" borderId="10" xfId="1" applyFont="1" applyFill="1" applyBorder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N41"/>
  <sheetViews>
    <sheetView tabSelected="1" workbookViewId="0">
      <selection activeCell="A2" sqref="A2:AM2"/>
    </sheetView>
  </sheetViews>
  <sheetFormatPr baseColWidth="10" defaultRowHeight="16" x14ac:dyDescent="0.2"/>
  <cols>
    <col min="1" max="1" width="10.83203125" style="20"/>
    <col min="2" max="2" width="10.1640625" bestFit="1" customWidth="1"/>
    <col min="3" max="4" width="8.83203125" bestFit="1" customWidth="1"/>
    <col min="5" max="5" width="22.5" bestFit="1" customWidth="1"/>
    <col min="6" max="7" width="14.5" bestFit="1" customWidth="1"/>
    <col min="8" max="8" width="13" bestFit="1" customWidth="1"/>
    <col min="9" max="9" width="14.5" bestFit="1" customWidth="1"/>
    <col min="10" max="12" width="13" bestFit="1" customWidth="1"/>
    <col min="13" max="13" width="22.1640625" bestFit="1" customWidth="1"/>
    <col min="14" max="14" width="14.5" bestFit="1" customWidth="1"/>
    <col min="15" max="15" width="13.1640625" style="10" bestFit="1" customWidth="1"/>
    <col min="16" max="16" width="13" style="10" bestFit="1" customWidth="1"/>
    <col min="17" max="17" width="13.1640625" style="10" bestFit="1" customWidth="1"/>
    <col min="18" max="18" width="22.83203125" style="10" bestFit="1" customWidth="1"/>
    <col min="19" max="19" width="13" bestFit="1" customWidth="1"/>
    <col min="20" max="20" width="13.1640625" bestFit="1" customWidth="1"/>
    <col min="21" max="21" width="12.83203125" bestFit="1" customWidth="1"/>
    <col min="22" max="22" width="12" bestFit="1" customWidth="1"/>
    <col min="23" max="23" width="23.6640625" bestFit="1" customWidth="1"/>
    <col min="24" max="24" width="13" bestFit="1" customWidth="1"/>
    <col min="25" max="25" width="14.5" bestFit="1" customWidth="1"/>
    <col min="26" max="26" width="14.1640625" bestFit="1" customWidth="1"/>
    <col min="27" max="27" width="13.1640625" bestFit="1" customWidth="1"/>
    <col min="28" max="28" width="25" bestFit="1" customWidth="1"/>
    <col min="29" max="29" width="13.1640625" bestFit="1" customWidth="1"/>
    <col min="30" max="32" width="13.33203125" bestFit="1" customWidth="1"/>
    <col min="33" max="33" width="19.83203125" bestFit="1" customWidth="1"/>
    <col min="34" max="37" width="12" bestFit="1" customWidth="1"/>
    <col min="38" max="38" width="19.5" bestFit="1" customWidth="1"/>
    <col min="39" max="39" width="12" bestFit="1" customWidth="1"/>
    <col min="40" max="40" width="40" bestFit="1" customWidth="1"/>
    <col min="41" max="16384" width="10.83203125" style="20"/>
  </cols>
  <sheetData>
    <row r="1" spans="1:40" customFormat="1" x14ac:dyDescent="0.2">
      <c r="F1" s="10"/>
      <c r="G1" s="10"/>
      <c r="H1" s="10"/>
      <c r="I1" s="10"/>
      <c r="J1" s="17">
        <v>0.6</v>
      </c>
      <c r="K1" s="17">
        <v>0.6</v>
      </c>
      <c r="L1" s="17">
        <v>0.6</v>
      </c>
      <c r="M1" s="10"/>
      <c r="N1" s="10"/>
      <c r="O1" s="10">
        <v>0.15</v>
      </c>
      <c r="P1" s="10">
        <v>0.15</v>
      </c>
      <c r="Q1" s="10">
        <v>0.15</v>
      </c>
      <c r="R1" s="10"/>
      <c r="S1" s="10"/>
      <c r="T1" s="17">
        <v>0.03</v>
      </c>
      <c r="U1" s="17">
        <v>0.03</v>
      </c>
      <c r="V1" s="17">
        <v>0.03</v>
      </c>
      <c r="W1" s="10"/>
      <c r="X1" s="10"/>
      <c r="Y1" s="17">
        <v>5.0000000000000001E-3</v>
      </c>
      <c r="Z1" s="17">
        <v>5.0000000000000001E-3</v>
      </c>
      <c r="AA1" s="17">
        <v>5.0000000000000001E-3</v>
      </c>
      <c r="AB1" s="10"/>
      <c r="AC1" s="10"/>
      <c r="AD1" s="17">
        <v>0.05</v>
      </c>
      <c r="AE1" s="17">
        <v>0.05</v>
      </c>
      <c r="AF1" s="17">
        <v>0.05</v>
      </c>
      <c r="AG1" s="10"/>
      <c r="AH1" s="10"/>
      <c r="AI1" s="10"/>
      <c r="AJ1" s="10"/>
      <c r="AK1" s="10"/>
      <c r="AL1" s="10"/>
      <c r="AM1" s="10"/>
    </row>
    <row r="2" spans="1:40" customFormat="1" x14ac:dyDescent="0.2">
      <c r="A2" s="1" t="s">
        <v>49</v>
      </c>
      <c r="B2" s="2" t="s">
        <v>0</v>
      </c>
      <c r="C2" s="2" t="s">
        <v>1</v>
      </c>
      <c r="D2" s="2" t="s">
        <v>2</v>
      </c>
      <c r="E2" s="2" t="s">
        <v>3</v>
      </c>
      <c r="F2" s="6" t="s">
        <v>4</v>
      </c>
      <c r="G2" s="6" t="s">
        <v>46</v>
      </c>
      <c r="H2" s="6" t="s">
        <v>47</v>
      </c>
      <c r="I2" s="6" t="s">
        <v>48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15</v>
      </c>
      <c r="U2" s="6" t="s">
        <v>16</v>
      </c>
      <c r="V2" s="6" t="s">
        <v>17</v>
      </c>
      <c r="W2" s="6" t="s">
        <v>18</v>
      </c>
      <c r="X2" s="6" t="s">
        <v>19</v>
      </c>
      <c r="Y2" s="6" t="s">
        <v>20</v>
      </c>
      <c r="Z2" s="6" t="s">
        <v>21</v>
      </c>
      <c r="AA2" s="6" t="s">
        <v>22</v>
      </c>
      <c r="AB2" s="6" t="s">
        <v>23</v>
      </c>
      <c r="AC2" s="6" t="s">
        <v>24</v>
      </c>
      <c r="AD2" s="6" t="s">
        <v>25</v>
      </c>
      <c r="AE2" s="6" t="s">
        <v>26</v>
      </c>
      <c r="AF2" s="6" t="s">
        <v>27</v>
      </c>
      <c r="AG2" s="6" t="s">
        <v>28</v>
      </c>
      <c r="AH2" s="6" t="s">
        <v>29</v>
      </c>
      <c r="AI2" s="6" t="s">
        <v>30</v>
      </c>
      <c r="AJ2" s="6" t="s">
        <v>31</v>
      </c>
      <c r="AK2" s="6" t="s">
        <v>32</v>
      </c>
      <c r="AL2" s="6" t="s">
        <v>33</v>
      </c>
      <c r="AM2" s="6" t="s">
        <v>34</v>
      </c>
    </row>
    <row r="3" spans="1:40" customFormat="1" x14ac:dyDescent="0.2">
      <c r="A3">
        <v>1</v>
      </c>
      <c r="B3" s="3">
        <v>310831630</v>
      </c>
      <c r="C3" s="4" t="d">
        <v>2019-09-19</v>
      </c>
      <c r="D3" s="4" t="d">
        <v>2020-09-30</v>
      </c>
      <c r="E3" s="3" t="s">
        <v>35</v>
      </c>
      <c r="F3" s="6">
        <v>586331</v>
      </c>
      <c r="G3" s="6"/>
      <c r="H3" s="6"/>
      <c r="I3" s="6"/>
      <c r="J3" s="7">
        <v>2520971.34</v>
      </c>
      <c r="K3" s="7">
        <v>1125389.3400000001</v>
      </c>
      <c r="L3" s="7">
        <v>1395582</v>
      </c>
      <c r="M3" s="7">
        <v>2520971</v>
      </c>
      <c r="N3" s="6">
        <v>0.34</v>
      </c>
      <c r="O3" s="7">
        <v>630242.85</v>
      </c>
      <c r="P3" s="7">
        <v>281347.84999999998</v>
      </c>
      <c r="Q3" s="7">
        <v>348895</v>
      </c>
      <c r="R3" s="7">
        <v>348895</v>
      </c>
      <c r="S3" s="6">
        <v>281347.84999999998</v>
      </c>
      <c r="T3" s="7">
        <v>126048.57</v>
      </c>
      <c r="U3" s="7">
        <v>56269.57</v>
      </c>
      <c r="V3" s="7">
        <v>69779</v>
      </c>
      <c r="W3" s="7">
        <v>69779</v>
      </c>
      <c r="X3" s="6">
        <v>56269.57</v>
      </c>
      <c r="Y3" s="7">
        <v>21008.09</v>
      </c>
      <c r="Z3" s="7">
        <v>5728.09</v>
      </c>
      <c r="AA3" s="7">
        <v>15280</v>
      </c>
      <c r="AB3" s="7">
        <v>15280</v>
      </c>
      <c r="AC3" s="6">
        <v>5728.09</v>
      </c>
      <c r="AD3" s="7">
        <v>210080.94</v>
      </c>
      <c r="AE3" s="7">
        <v>93782.38</v>
      </c>
      <c r="AF3" s="7">
        <v>116298.56</v>
      </c>
      <c r="AG3" s="7">
        <v>116295</v>
      </c>
      <c r="AH3" s="6">
        <v>93785.94</v>
      </c>
      <c r="AI3" s="7">
        <v>136784.54</v>
      </c>
      <c r="AJ3" s="7">
        <v>70224.539999999994</v>
      </c>
      <c r="AK3" s="7">
        <v>66560</v>
      </c>
      <c r="AL3" s="7">
        <v>136782</v>
      </c>
      <c r="AM3" s="7">
        <v>2.54</v>
      </c>
    </row>
    <row r="4" spans="1:40" x14ac:dyDescent="0.2">
      <c r="B4" s="12"/>
      <c r="C4" s="13"/>
      <c r="D4" s="13"/>
      <c r="E4" s="12"/>
      <c r="F4" s="18"/>
      <c r="G4" s="18">
        <v>4201619.0199999996</v>
      </c>
      <c r="H4" s="18">
        <v>1875648</v>
      </c>
      <c r="I4" s="18">
        <v>2325971</v>
      </c>
      <c r="J4" s="14">
        <f>J$1*$G4</f>
        <v>2520971.4119999995</v>
      </c>
      <c r="K4" s="14">
        <f>K$1*$H4</f>
        <v>1125388.8</v>
      </c>
      <c r="L4" s="14">
        <f>L$1*$I4</f>
        <v>1395582.5999999999</v>
      </c>
      <c r="M4" s="14"/>
      <c r="N4" s="18"/>
      <c r="O4" s="14">
        <f>O$1*$G4</f>
        <v>630242.85299999989</v>
      </c>
      <c r="P4" s="14">
        <f>P$1*$H4</f>
        <v>281347.20000000001</v>
      </c>
      <c r="Q4" s="14">
        <f>Q$1*$I4</f>
        <v>348895.64999999997</v>
      </c>
      <c r="R4" s="14"/>
      <c r="S4" s="18"/>
      <c r="T4" s="14">
        <f>T$1*$G4</f>
        <v>126048.57059999998</v>
      </c>
      <c r="U4" s="14">
        <f>U$1*$H4</f>
        <v>56269.439999999995</v>
      </c>
      <c r="V4" s="14">
        <f>V$1*$I4</f>
        <v>69779.13</v>
      </c>
      <c r="W4" s="14"/>
      <c r="X4" s="18"/>
      <c r="Y4" s="14">
        <f>Y$1*$G4</f>
        <v>21008.095099999999</v>
      </c>
      <c r="Z4" s="14">
        <f>Z$1*$H4</f>
        <v>9378.24</v>
      </c>
      <c r="AA4" s="14">
        <f>AA$1*$I4</f>
        <v>11629.855</v>
      </c>
      <c r="AB4" s="14"/>
      <c r="AC4" s="18"/>
      <c r="AD4" s="14">
        <f>AD$1*$G4</f>
        <v>210080.951</v>
      </c>
      <c r="AE4" s="14">
        <f>AE$1*$H4</f>
        <v>93782.400000000009</v>
      </c>
      <c r="AF4" s="14">
        <f>AF$1*$I4</f>
        <v>116298.55</v>
      </c>
      <c r="AG4" s="14"/>
      <c r="AH4" s="18"/>
      <c r="AI4" s="14"/>
      <c r="AJ4" s="14"/>
      <c r="AK4" s="14"/>
      <c r="AL4" s="14"/>
      <c r="AM4" s="14"/>
      <c r="AN4" s="15"/>
    </row>
    <row r="5" spans="1:40" x14ac:dyDescent="0.2">
      <c r="A5" s="20">
        <f>A3+1</f>
        <v>2</v>
      </c>
      <c r="B5" s="3">
        <v>310832464</v>
      </c>
      <c r="C5" s="4" t="d">
        <v>2019-10-25</v>
      </c>
      <c r="D5" s="4" t="d">
        <v>2020-10-25</v>
      </c>
      <c r="E5" s="3" t="s">
        <v>36</v>
      </c>
      <c r="F5" s="6" t="s">
        <v>37</v>
      </c>
      <c r="G5" s="6"/>
      <c r="H5" s="6"/>
      <c r="I5" s="6"/>
      <c r="J5" s="7">
        <v>469494.91</v>
      </c>
      <c r="K5" s="7">
        <v>2160.91</v>
      </c>
      <c r="L5" s="7">
        <v>467334</v>
      </c>
      <c r="M5" s="7">
        <v>469494</v>
      </c>
      <c r="N5" s="6">
        <v>0.91</v>
      </c>
      <c r="O5" s="7">
        <v>116833.73</v>
      </c>
      <c r="P5" s="7">
        <v>0.73</v>
      </c>
      <c r="Q5" s="7">
        <v>116833</v>
      </c>
      <c r="R5" s="7">
        <v>116833</v>
      </c>
      <c r="S5" s="6">
        <v>0.73</v>
      </c>
      <c r="T5" s="7">
        <v>23474.75</v>
      </c>
      <c r="U5" s="7">
        <v>108.74</v>
      </c>
      <c r="V5" s="7">
        <v>23366</v>
      </c>
      <c r="W5" s="7">
        <v>21061</v>
      </c>
      <c r="X5" s="6">
        <v>2413.7399999999998</v>
      </c>
      <c r="Y5" s="7">
        <v>3912.46</v>
      </c>
      <c r="Z5" s="7">
        <v>18.46</v>
      </c>
      <c r="AA5" s="7">
        <v>3894</v>
      </c>
      <c r="AB5" s="7">
        <v>3894</v>
      </c>
      <c r="AC5" s="6">
        <v>18.46</v>
      </c>
      <c r="AD5" s="7">
        <v>38944.58</v>
      </c>
      <c r="AE5" s="7">
        <v>0.57999999999999996</v>
      </c>
      <c r="AF5" s="7">
        <v>38944</v>
      </c>
      <c r="AG5" s="7">
        <v>38902</v>
      </c>
      <c r="AH5" s="6">
        <v>42.58</v>
      </c>
      <c r="AI5" s="7">
        <v>35474.300000000003</v>
      </c>
      <c r="AJ5" s="7">
        <v>35474.300000000003</v>
      </c>
      <c r="AK5" s="7" t="s">
        <v>37</v>
      </c>
      <c r="AL5" s="7">
        <v>35473</v>
      </c>
      <c r="AM5" s="7">
        <v>1.3</v>
      </c>
    </row>
    <row r="6" spans="1:40" x14ac:dyDescent="0.2">
      <c r="B6" s="12"/>
      <c r="C6" s="13"/>
      <c r="D6" s="13"/>
      <c r="E6" s="12"/>
      <c r="F6" s="18"/>
      <c r="G6" s="18">
        <v>782491</v>
      </c>
      <c r="H6" s="18">
        <v>3600</v>
      </c>
      <c r="I6" s="18">
        <v>778891</v>
      </c>
      <c r="J6" s="14">
        <f>J$1*$G6</f>
        <v>469494.6</v>
      </c>
      <c r="K6" s="14">
        <f>K$1*$H6</f>
        <v>2160</v>
      </c>
      <c r="L6" s="14">
        <f>L$1*$I6</f>
        <v>467334.6</v>
      </c>
      <c r="M6" s="14"/>
      <c r="N6" s="18"/>
      <c r="O6" s="14">
        <f>O$1*$G6</f>
        <v>117373.65</v>
      </c>
      <c r="P6" s="14">
        <f>P$1*$H6</f>
        <v>540</v>
      </c>
      <c r="Q6" s="14">
        <f>Q$1*$I6</f>
        <v>116833.65</v>
      </c>
      <c r="R6" s="14"/>
      <c r="S6" s="18"/>
      <c r="T6" s="14">
        <f>T$1*$G6</f>
        <v>23474.73</v>
      </c>
      <c r="U6" s="14">
        <f>U$1*$H6</f>
        <v>108</v>
      </c>
      <c r="V6" s="14">
        <f>V$1*$I6</f>
        <v>23366.73</v>
      </c>
      <c r="W6" s="14"/>
      <c r="X6" s="18"/>
      <c r="Y6" s="14">
        <f>Y$1*$G6</f>
        <v>3912.4549999999999</v>
      </c>
      <c r="Z6" s="14">
        <f>Z$1*$H6</f>
        <v>18</v>
      </c>
      <c r="AA6" s="14">
        <f>AA$1*$I6</f>
        <v>3894.4549999999999</v>
      </c>
      <c r="AB6" s="14"/>
      <c r="AC6" s="18"/>
      <c r="AD6" s="14">
        <f>AD$1*$G6</f>
        <v>39124.550000000003</v>
      </c>
      <c r="AE6" s="14">
        <f>AE$1*$H6</f>
        <v>180</v>
      </c>
      <c r="AF6" s="14">
        <f>AF$1*$I6</f>
        <v>38944.550000000003</v>
      </c>
      <c r="AG6" s="14"/>
      <c r="AH6" s="18"/>
      <c r="AI6" s="14"/>
      <c r="AJ6" s="14"/>
      <c r="AK6" s="14"/>
      <c r="AL6" s="14"/>
      <c r="AM6" s="14"/>
      <c r="AN6" s="15"/>
    </row>
    <row r="7" spans="1:40" x14ac:dyDescent="0.2">
      <c r="A7" s="20">
        <f>A5+1</f>
        <v>3</v>
      </c>
      <c r="B7" s="3">
        <v>310832398</v>
      </c>
      <c r="C7" s="4" t="d">
        <v>2019-10-23</v>
      </c>
      <c r="D7" s="4" t="d">
        <v>2020-10-31</v>
      </c>
      <c r="E7" s="3" t="s">
        <v>36</v>
      </c>
      <c r="F7" s="6">
        <v>136339</v>
      </c>
      <c r="G7" s="6"/>
      <c r="H7" s="6"/>
      <c r="I7" s="6"/>
      <c r="J7" s="7">
        <v>595243</v>
      </c>
      <c r="K7" s="7">
        <v>2160</v>
      </c>
      <c r="L7" s="7">
        <v>593083</v>
      </c>
      <c r="M7" s="7">
        <v>595243</v>
      </c>
      <c r="N7" s="6" t="s">
        <v>37</v>
      </c>
      <c r="O7" s="7">
        <v>148270.79999999999</v>
      </c>
      <c r="P7" s="7">
        <v>0.8</v>
      </c>
      <c r="Q7" s="7">
        <v>148270</v>
      </c>
      <c r="R7" s="7">
        <v>148270</v>
      </c>
      <c r="S7" s="6">
        <v>0.8</v>
      </c>
      <c r="T7" s="7">
        <v>29762.16</v>
      </c>
      <c r="U7" s="7">
        <v>108.16</v>
      </c>
      <c r="V7" s="7">
        <v>29654</v>
      </c>
      <c r="W7" s="7">
        <v>29654</v>
      </c>
      <c r="X7" s="6">
        <v>108.16</v>
      </c>
      <c r="Y7" s="7">
        <v>4960.3599999999997</v>
      </c>
      <c r="Z7" s="7">
        <v>18.36</v>
      </c>
      <c r="AA7" s="7">
        <v>4942</v>
      </c>
      <c r="AB7" s="7">
        <v>4942</v>
      </c>
      <c r="AC7" s="6">
        <v>18.36</v>
      </c>
      <c r="AD7" s="7">
        <v>49423.6</v>
      </c>
      <c r="AE7" s="7">
        <v>0.6</v>
      </c>
      <c r="AF7" s="7">
        <v>49423</v>
      </c>
      <c r="AG7" s="7">
        <v>49297</v>
      </c>
      <c r="AH7" s="6">
        <v>126.6</v>
      </c>
      <c r="AI7" s="7">
        <v>34663.120000000003</v>
      </c>
      <c r="AJ7" s="7">
        <v>34663.120000000003</v>
      </c>
      <c r="AK7" s="7" t="s">
        <v>37</v>
      </c>
      <c r="AL7" s="7">
        <v>34661</v>
      </c>
      <c r="AM7" s="7">
        <v>2.12</v>
      </c>
    </row>
    <row r="8" spans="1:40" x14ac:dyDescent="0.2">
      <c r="B8" s="12"/>
      <c r="C8" s="13"/>
      <c r="D8" s="13"/>
      <c r="E8" s="12"/>
      <c r="F8" s="18"/>
      <c r="G8" s="18">
        <v>992072</v>
      </c>
      <c r="H8" s="18">
        <v>3600</v>
      </c>
      <c r="I8" s="18">
        <v>988472</v>
      </c>
      <c r="J8" s="14">
        <f>J$1*$G8</f>
        <v>595243.19999999995</v>
      </c>
      <c r="K8" s="14">
        <f>K$1*$H8</f>
        <v>2160</v>
      </c>
      <c r="L8" s="14">
        <f>L$1*$I8</f>
        <v>593083.19999999995</v>
      </c>
      <c r="M8" s="14"/>
      <c r="N8" s="18"/>
      <c r="O8" s="14">
        <f>O$1*$G8</f>
        <v>148810.79999999999</v>
      </c>
      <c r="P8" s="14">
        <f>P$1*$H8</f>
        <v>540</v>
      </c>
      <c r="Q8" s="14">
        <f>Q$1*$I8</f>
        <v>148270.79999999999</v>
      </c>
      <c r="R8" s="14"/>
      <c r="S8" s="18"/>
      <c r="T8" s="14">
        <f>T$1*$G8</f>
        <v>29762.16</v>
      </c>
      <c r="U8" s="14">
        <f>U$1*$H8</f>
        <v>108</v>
      </c>
      <c r="V8" s="14">
        <f>V$1*$I8</f>
        <v>29654.16</v>
      </c>
      <c r="W8" s="14"/>
      <c r="X8" s="18"/>
      <c r="Y8" s="14">
        <f>Y$1*$G8</f>
        <v>4960.3599999999997</v>
      </c>
      <c r="Z8" s="14">
        <f>Z$1*$H8</f>
        <v>18</v>
      </c>
      <c r="AA8" s="14">
        <f>AA$1*$I8</f>
        <v>4942.3599999999997</v>
      </c>
      <c r="AB8" s="14"/>
      <c r="AC8" s="18"/>
      <c r="AD8" s="14">
        <f>AD$1*$G8</f>
        <v>49603.600000000006</v>
      </c>
      <c r="AE8" s="14">
        <f>AE$1*$H8</f>
        <v>180</v>
      </c>
      <c r="AF8" s="14">
        <f>AF$1*$I8</f>
        <v>49423.600000000006</v>
      </c>
      <c r="AG8" s="14"/>
      <c r="AH8" s="18"/>
      <c r="AI8" s="14"/>
      <c r="AJ8" s="14"/>
      <c r="AK8" s="14"/>
      <c r="AL8" s="14"/>
      <c r="AM8" s="14"/>
      <c r="AN8" s="15"/>
    </row>
    <row r="9" spans="1:40" x14ac:dyDescent="0.2">
      <c r="A9" s="20">
        <f>A7+1</f>
        <v>4</v>
      </c>
      <c r="B9" s="3">
        <v>310832433</v>
      </c>
      <c r="C9" s="4" t="d">
        <v>2019-10-24</v>
      </c>
      <c r="D9" s="4" t="d">
        <v>2020-10-31</v>
      </c>
      <c r="E9" s="3" t="s">
        <v>36</v>
      </c>
      <c r="F9" s="6">
        <v>130059</v>
      </c>
      <c r="G9" s="6"/>
      <c r="H9" s="6"/>
      <c r="I9" s="6"/>
      <c r="J9" s="7">
        <v>522489.12</v>
      </c>
      <c r="K9" s="7">
        <v>2160.12</v>
      </c>
      <c r="L9" s="7">
        <v>520329</v>
      </c>
      <c r="M9" s="7">
        <v>522489</v>
      </c>
      <c r="N9" s="6">
        <v>0.12</v>
      </c>
      <c r="O9" s="7">
        <v>130082.28</v>
      </c>
      <c r="P9" s="7">
        <v>0.28000000000000003</v>
      </c>
      <c r="Q9" s="7">
        <v>130082</v>
      </c>
      <c r="R9" s="7">
        <v>130082</v>
      </c>
      <c r="S9" s="6">
        <v>0.28000000000000003</v>
      </c>
      <c r="T9" s="7">
        <v>26124.46</v>
      </c>
      <c r="U9" s="7">
        <v>108.46</v>
      </c>
      <c r="V9" s="7">
        <v>26016</v>
      </c>
      <c r="W9" s="7">
        <v>26016</v>
      </c>
      <c r="X9" s="6">
        <v>108.46</v>
      </c>
      <c r="Y9" s="7">
        <v>4354.08</v>
      </c>
      <c r="Z9" s="7">
        <v>18.079999999999998</v>
      </c>
      <c r="AA9" s="7">
        <v>4336</v>
      </c>
      <c r="AB9" s="7">
        <v>4336</v>
      </c>
      <c r="AC9" s="6">
        <v>18.079999999999998</v>
      </c>
      <c r="AD9" s="7">
        <v>43360.76</v>
      </c>
      <c r="AE9" s="7">
        <v>0.76</v>
      </c>
      <c r="AF9" s="7">
        <v>43360</v>
      </c>
      <c r="AG9" s="7">
        <v>43318</v>
      </c>
      <c r="AH9" s="6">
        <v>42.76</v>
      </c>
      <c r="AI9" s="7">
        <v>47609.61</v>
      </c>
      <c r="AJ9" s="7">
        <v>47609.61</v>
      </c>
      <c r="AK9" s="7" t="s">
        <v>37</v>
      </c>
      <c r="AL9" s="7">
        <v>47609</v>
      </c>
      <c r="AM9" s="7">
        <v>0.61</v>
      </c>
    </row>
    <row r="10" spans="1:40" x14ac:dyDescent="0.2">
      <c r="B10" s="12"/>
      <c r="C10" s="13"/>
      <c r="D10" s="13"/>
      <c r="E10" s="12"/>
      <c r="F10" s="18"/>
      <c r="G10" s="18">
        <v>870815</v>
      </c>
      <c r="H10" s="18">
        <v>3600</v>
      </c>
      <c r="I10" s="18">
        <v>867215</v>
      </c>
      <c r="J10" s="14">
        <f>J$1*$G10</f>
        <v>522489</v>
      </c>
      <c r="K10" s="14">
        <f>K$1*$H10</f>
        <v>2160</v>
      </c>
      <c r="L10" s="14">
        <f>L$1*$I10</f>
        <v>520329</v>
      </c>
      <c r="M10" s="14"/>
      <c r="N10" s="18"/>
      <c r="O10" s="14">
        <f>O$1*$G10</f>
        <v>130622.25</v>
      </c>
      <c r="P10" s="14">
        <f>P$1*$H10</f>
        <v>540</v>
      </c>
      <c r="Q10" s="14">
        <f>Q$1*$I10</f>
        <v>130082.25</v>
      </c>
      <c r="R10" s="14"/>
      <c r="S10" s="18"/>
      <c r="T10" s="14">
        <f>T$1*$G10</f>
        <v>26124.45</v>
      </c>
      <c r="U10" s="14">
        <f>U$1*$H10</f>
        <v>108</v>
      </c>
      <c r="V10" s="14">
        <f>V$1*$I10</f>
        <v>26016.45</v>
      </c>
      <c r="W10" s="14"/>
      <c r="X10" s="18"/>
      <c r="Y10" s="14">
        <f>Y$1*$G10</f>
        <v>4354.0749999999998</v>
      </c>
      <c r="Z10" s="14">
        <f>Z$1*$H10</f>
        <v>18</v>
      </c>
      <c r="AA10" s="14">
        <f>AA$1*$I10</f>
        <v>4336.0749999999998</v>
      </c>
      <c r="AB10" s="14"/>
      <c r="AC10" s="18"/>
      <c r="AD10" s="14">
        <f>AD$1*$G10</f>
        <v>43540.75</v>
      </c>
      <c r="AE10" s="14">
        <f>AE$1*$H10</f>
        <v>180</v>
      </c>
      <c r="AF10" s="14">
        <f>AF$1*$I10</f>
        <v>43360.75</v>
      </c>
      <c r="AG10" s="14"/>
      <c r="AH10" s="18"/>
      <c r="AI10" s="14"/>
      <c r="AJ10" s="14"/>
      <c r="AK10" s="14"/>
      <c r="AL10" s="14"/>
      <c r="AM10" s="14"/>
      <c r="AN10" s="15"/>
    </row>
    <row r="11" spans="1:40" x14ac:dyDescent="0.2">
      <c r="A11" s="20">
        <f>A9+1</f>
        <v>5</v>
      </c>
      <c r="B11" s="3">
        <v>310832432</v>
      </c>
      <c r="C11" s="4" t="d">
        <v>2019-10-24</v>
      </c>
      <c r="D11" s="4" t="d">
        <v>2020-10-31</v>
      </c>
      <c r="E11" s="3" t="s">
        <v>36</v>
      </c>
      <c r="F11" s="6">
        <v>98689</v>
      </c>
      <c r="G11" s="6"/>
      <c r="H11" s="6"/>
      <c r="I11" s="6"/>
      <c r="J11" s="7">
        <v>542322.86</v>
      </c>
      <c r="K11" s="7">
        <v>2160.86</v>
      </c>
      <c r="L11" s="7">
        <v>540162</v>
      </c>
      <c r="M11" s="7">
        <v>542322</v>
      </c>
      <c r="N11" s="6">
        <v>0.86</v>
      </c>
      <c r="O11" s="7">
        <v>135040.72</v>
      </c>
      <c r="P11" s="7">
        <v>0.72</v>
      </c>
      <c r="Q11" s="7">
        <v>135040</v>
      </c>
      <c r="R11" s="7">
        <v>135040</v>
      </c>
      <c r="S11" s="6">
        <v>0.72</v>
      </c>
      <c r="T11" s="7">
        <v>27116.14</v>
      </c>
      <c r="U11" s="7">
        <v>108.14</v>
      </c>
      <c r="V11" s="7">
        <v>27008</v>
      </c>
      <c r="W11" s="7">
        <v>27008</v>
      </c>
      <c r="X11" s="6">
        <v>108.14</v>
      </c>
      <c r="Y11" s="7">
        <v>4519.3599999999997</v>
      </c>
      <c r="Z11" s="7">
        <v>18.36</v>
      </c>
      <c r="AA11" s="7">
        <v>4501</v>
      </c>
      <c r="AB11" s="7">
        <v>4501</v>
      </c>
      <c r="AC11" s="6">
        <v>18.36</v>
      </c>
      <c r="AD11" s="7">
        <v>45013.57</v>
      </c>
      <c r="AE11" s="7">
        <v>0.56999999999999995</v>
      </c>
      <c r="AF11" s="7">
        <v>45013</v>
      </c>
      <c r="AG11" s="7">
        <v>44929</v>
      </c>
      <c r="AH11" s="6">
        <v>84.57</v>
      </c>
      <c r="AI11" s="7">
        <v>54912.87</v>
      </c>
      <c r="AJ11" s="7">
        <v>54912.87</v>
      </c>
      <c r="AK11" s="7" t="s">
        <v>37</v>
      </c>
      <c r="AL11" s="7">
        <v>54912</v>
      </c>
      <c r="AM11" s="7">
        <v>0.87</v>
      </c>
    </row>
    <row r="12" spans="1:40" x14ac:dyDescent="0.2">
      <c r="B12" s="12"/>
      <c r="C12" s="13"/>
      <c r="D12" s="13"/>
      <c r="E12" s="12"/>
      <c r="F12" s="18"/>
      <c r="G12" s="18">
        <v>903871</v>
      </c>
      <c r="H12" s="18">
        <v>3600</v>
      </c>
      <c r="I12" s="18">
        <f>G12-H12</f>
        <v>900271</v>
      </c>
      <c r="J12" s="14">
        <f>J$1*$G12</f>
        <v>542322.6</v>
      </c>
      <c r="K12" s="14">
        <f>K$1*$H12</f>
        <v>2160</v>
      </c>
      <c r="L12" s="14">
        <f>L$1*$I12</f>
        <v>540162.6</v>
      </c>
      <c r="M12" s="14"/>
      <c r="N12" s="18"/>
      <c r="O12" s="14">
        <f>O$1*$G12</f>
        <v>135580.65</v>
      </c>
      <c r="P12" s="14">
        <f>P$1*$H12</f>
        <v>540</v>
      </c>
      <c r="Q12" s="14">
        <f>Q$1*$I12</f>
        <v>135040.65</v>
      </c>
      <c r="R12" s="14"/>
      <c r="S12" s="18"/>
      <c r="T12" s="14">
        <f>T$1*$G12</f>
        <v>27116.129999999997</v>
      </c>
      <c r="U12" s="14">
        <f>U$1*$H12</f>
        <v>108</v>
      </c>
      <c r="V12" s="14">
        <f>V$1*$I12</f>
        <v>27008.129999999997</v>
      </c>
      <c r="W12" s="14"/>
      <c r="X12" s="18"/>
      <c r="Y12" s="14">
        <f>Y$1*$G12</f>
        <v>4519.3550000000005</v>
      </c>
      <c r="Z12" s="14">
        <f>Z$1*$H12</f>
        <v>18</v>
      </c>
      <c r="AA12" s="14">
        <f>AA$1*$I12</f>
        <v>4501.3550000000005</v>
      </c>
      <c r="AB12" s="14"/>
      <c r="AC12" s="18"/>
      <c r="AD12" s="14">
        <f>AD$1*$G12</f>
        <v>45193.55</v>
      </c>
      <c r="AE12" s="14">
        <f>AE$1*$H12</f>
        <v>180</v>
      </c>
      <c r="AF12" s="14">
        <f>AF$1*$I12</f>
        <v>45013.55</v>
      </c>
      <c r="AG12" s="14"/>
      <c r="AH12" s="18"/>
      <c r="AI12" s="14"/>
      <c r="AJ12" s="14"/>
      <c r="AK12" s="14"/>
      <c r="AL12" s="14"/>
      <c r="AM12" s="14"/>
      <c r="AN12" s="15"/>
    </row>
    <row r="13" spans="1:40" x14ac:dyDescent="0.2">
      <c r="A13" s="20">
        <f>A11+1</f>
        <v>6</v>
      </c>
      <c r="B13" s="3">
        <v>310832430</v>
      </c>
      <c r="C13" s="4" t="d">
        <v>2019-10-24</v>
      </c>
      <c r="D13" s="4" t="d">
        <v>2020-10-31</v>
      </c>
      <c r="E13" s="3" t="s">
        <v>36</v>
      </c>
      <c r="F13" s="6">
        <v>185022</v>
      </c>
      <c r="G13" s="6"/>
      <c r="H13" s="6"/>
      <c r="I13" s="6"/>
      <c r="J13" s="7">
        <v>575822.1</v>
      </c>
      <c r="K13" s="7">
        <v>2521.1</v>
      </c>
      <c r="L13" s="7">
        <v>573301</v>
      </c>
      <c r="M13" s="7">
        <v>575822</v>
      </c>
      <c r="N13" s="6">
        <v>0.1</v>
      </c>
      <c r="O13" s="7">
        <v>143325.53</v>
      </c>
      <c r="P13" s="7">
        <v>0.52</v>
      </c>
      <c r="Q13" s="7">
        <v>143325</v>
      </c>
      <c r="R13" s="7">
        <v>143325</v>
      </c>
      <c r="S13" s="6">
        <v>0.52</v>
      </c>
      <c r="T13" s="7">
        <v>28791.11</v>
      </c>
      <c r="U13" s="7">
        <v>126.1</v>
      </c>
      <c r="V13" s="7">
        <v>28665</v>
      </c>
      <c r="W13" s="7">
        <v>28665</v>
      </c>
      <c r="X13" s="6">
        <v>126.1</v>
      </c>
      <c r="Y13" s="7">
        <v>4798.5200000000004</v>
      </c>
      <c r="Z13" s="7">
        <v>21.52</v>
      </c>
      <c r="AA13" s="7">
        <v>4777</v>
      </c>
      <c r="AB13" s="7">
        <v>4777</v>
      </c>
      <c r="AC13" s="6">
        <v>21.52</v>
      </c>
      <c r="AD13" s="7">
        <v>47775.18</v>
      </c>
      <c r="AE13" s="7">
        <v>0.18</v>
      </c>
      <c r="AF13" s="7">
        <v>47775</v>
      </c>
      <c r="AG13" s="7">
        <v>47772</v>
      </c>
      <c r="AH13" s="6">
        <v>3.18</v>
      </c>
      <c r="AI13" s="7">
        <v>47024.73</v>
      </c>
      <c r="AJ13" s="7">
        <v>47024.73</v>
      </c>
      <c r="AK13" s="7" t="s">
        <v>37</v>
      </c>
      <c r="AL13" s="7">
        <v>47023</v>
      </c>
      <c r="AM13" s="7">
        <v>1.72</v>
      </c>
    </row>
    <row r="14" spans="1:40" x14ac:dyDescent="0.2">
      <c r="B14" s="12"/>
      <c r="C14" s="13"/>
      <c r="D14" s="13"/>
      <c r="E14" s="12"/>
      <c r="F14" s="18"/>
      <c r="G14" s="18">
        <v>959703</v>
      </c>
      <c r="H14" s="18">
        <v>3600</v>
      </c>
      <c r="I14" s="18">
        <f>G14-H14</f>
        <v>956103</v>
      </c>
      <c r="J14" s="14">
        <f>J$1*$G14</f>
        <v>575821.79999999993</v>
      </c>
      <c r="K14" s="14">
        <f>K$1*$H14</f>
        <v>2160</v>
      </c>
      <c r="L14" s="14">
        <f>L$1*$I14</f>
        <v>573661.79999999993</v>
      </c>
      <c r="M14" s="14"/>
      <c r="N14" s="18"/>
      <c r="O14" s="14">
        <f>O$1*$G14</f>
        <v>143955.44999999998</v>
      </c>
      <c r="P14" s="14">
        <f>P$1*$H14</f>
        <v>540</v>
      </c>
      <c r="Q14" s="14">
        <f>Q$1*$I14</f>
        <v>143415.44999999998</v>
      </c>
      <c r="R14" s="14"/>
      <c r="S14" s="18"/>
      <c r="T14" s="14">
        <f>T$1*$G14</f>
        <v>28791.09</v>
      </c>
      <c r="U14" s="14">
        <f>U$1*$H14</f>
        <v>108</v>
      </c>
      <c r="V14" s="14">
        <f>V$1*$I14</f>
        <v>28683.09</v>
      </c>
      <c r="W14" s="14"/>
      <c r="X14" s="18"/>
      <c r="Y14" s="14">
        <f>Y$1*$G14</f>
        <v>4798.5150000000003</v>
      </c>
      <c r="Z14" s="14">
        <f>Z$1*$H14</f>
        <v>18</v>
      </c>
      <c r="AA14" s="14">
        <f>AA$1*$I14</f>
        <v>4780.5150000000003</v>
      </c>
      <c r="AB14" s="14"/>
      <c r="AC14" s="18"/>
      <c r="AD14" s="14">
        <f>AD$1*$G14</f>
        <v>47985.15</v>
      </c>
      <c r="AE14" s="14">
        <f>AE$1*$H14</f>
        <v>180</v>
      </c>
      <c r="AF14" s="14">
        <f>AF$1*$I14</f>
        <v>47805.15</v>
      </c>
      <c r="AG14" s="14"/>
      <c r="AH14" s="18"/>
      <c r="AI14" s="14"/>
      <c r="AJ14" s="14"/>
      <c r="AK14" s="14"/>
      <c r="AL14" s="14"/>
      <c r="AM14" s="14"/>
      <c r="AN14" s="15"/>
    </row>
    <row r="15" spans="1:40" x14ac:dyDescent="0.2">
      <c r="A15" s="20">
        <f>A13+1</f>
        <v>7</v>
      </c>
      <c r="B15" s="3">
        <v>310833322</v>
      </c>
      <c r="C15" s="4" t="d">
        <v>2019-12-10</v>
      </c>
      <c r="D15" s="4" t="d">
        <v>2020-12-31</v>
      </c>
      <c r="E15" s="3" t="s">
        <v>38</v>
      </c>
      <c r="F15" s="6">
        <v>98454</v>
      </c>
      <c r="G15" s="6"/>
      <c r="H15" s="6"/>
      <c r="I15" s="6"/>
      <c r="J15" s="7">
        <v>559158</v>
      </c>
      <c r="K15" s="7">
        <v>168</v>
      </c>
      <c r="L15" s="7">
        <v>558990</v>
      </c>
      <c r="M15" s="7">
        <v>559158</v>
      </c>
      <c r="N15" s="6" t="s">
        <v>37</v>
      </c>
      <c r="O15" s="7">
        <v>139747.5</v>
      </c>
      <c r="P15" s="7">
        <v>0.5</v>
      </c>
      <c r="Q15" s="7">
        <v>139747</v>
      </c>
      <c r="R15" s="7">
        <v>139747</v>
      </c>
      <c r="S15" s="6">
        <v>0.5</v>
      </c>
      <c r="T15" s="7">
        <v>27957.9</v>
      </c>
      <c r="U15" s="7">
        <v>8.9</v>
      </c>
      <c r="V15" s="7">
        <v>27949</v>
      </c>
      <c r="W15" s="7">
        <v>27945</v>
      </c>
      <c r="X15" s="6">
        <v>12.9</v>
      </c>
      <c r="Y15" s="7">
        <v>4659.6499999999996</v>
      </c>
      <c r="Z15" s="7">
        <v>1.65</v>
      </c>
      <c r="AA15" s="7">
        <v>4658</v>
      </c>
      <c r="AB15" s="7">
        <v>4658</v>
      </c>
      <c r="AC15" s="6">
        <v>1.65</v>
      </c>
      <c r="AD15" s="7">
        <v>46582.5</v>
      </c>
      <c r="AE15" s="7">
        <v>0.5</v>
      </c>
      <c r="AF15" s="7">
        <v>46582</v>
      </c>
      <c r="AG15" s="7">
        <v>46341</v>
      </c>
      <c r="AH15" s="6">
        <v>241.5</v>
      </c>
      <c r="AI15" s="7">
        <v>94057.05</v>
      </c>
      <c r="AJ15" s="7">
        <v>94057.05</v>
      </c>
      <c r="AK15" s="7" t="s">
        <v>37</v>
      </c>
      <c r="AL15" s="7">
        <v>94057</v>
      </c>
      <c r="AM15" s="7">
        <v>0.05</v>
      </c>
    </row>
    <row r="16" spans="1:40" x14ac:dyDescent="0.2">
      <c r="B16" s="12"/>
      <c r="C16" s="13"/>
      <c r="D16" s="13"/>
      <c r="E16" s="12"/>
      <c r="F16" s="18"/>
      <c r="G16" s="18">
        <v>931930</v>
      </c>
      <c r="H16" s="18">
        <v>280</v>
      </c>
      <c r="I16" s="18">
        <f>G16-H16</f>
        <v>931650</v>
      </c>
      <c r="J16" s="14">
        <f>J$1*$G16</f>
        <v>559158</v>
      </c>
      <c r="K16" s="14">
        <f>K$1*$H16</f>
        <v>168</v>
      </c>
      <c r="L16" s="14">
        <f>L$1*$I16</f>
        <v>558990</v>
      </c>
      <c r="M16" s="14"/>
      <c r="N16" s="18"/>
      <c r="O16" s="14">
        <f>O$1*$G16</f>
        <v>139789.5</v>
      </c>
      <c r="P16" s="14">
        <f>P$1*$H16</f>
        <v>42</v>
      </c>
      <c r="Q16" s="14">
        <f>Q$1*$I16</f>
        <v>139747.5</v>
      </c>
      <c r="R16" s="14"/>
      <c r="S16" s="18"/>
      <c r="T16" s="14">
        <f>T$1*$G16</f>
        <v>27957.899999999998</v>
      </c>
      <c r="U16" s="14">
        <f>U$1*$H16</f>
        <v>8.4</v>
      </c>
      <c r="V16" s="14">
        <f>V$1*$I16</f>
        <v>27949.5</v>
      </c>
      <c r="W16" s="14"/>
      <c r="X16" s="18"/>
      <c r="Y16" s="14">
        <f>Y$1*$G16</f>
        <v>4659.6500000000005</v>
      </c>
      <c r="Z16" s="14">
        <f>Z$1*$H16</f>
        <v>1.4000000000000001</v>
      </c>
      <c r="AA16" s="14">
        <f>AA$1*$I16</f>
        <v>4658.25</v>
      </c>
      <c r="AB16" s="14"/>
      <c r="AC16" s="18"/>
      <c r="AD16" s="14">
        <f>AD$1*$G16</f>
        <v>46596.5</v>
      </c>
      <c r="AE16" s="14">
        <f>AE$1*$H16</f>
        <v>14</v>
      </c>
      <c r="AF16" s="14">
        <f>AF$1*$I16</f>
        <v>46582.5</v>
      </c>
      <c r="AG16" s="14"/>
      <c r="AH16" s="18"/>
      <c r="AI16" s="14"/>
      <c r="AJ16" s="14"/>
      <c r="AK16" s="14"/>
      <c r="AL16" s="14"/>
      <c r="AM16" s="14"/>
      <c r="AN16" s="15"/>
    </row>
    <row r="17" spans="1:40" x14ac:dyDescent="0.2">
      <c r="A17" s="20">
        <f>A15+1</f>
        <v>8</v>
      </c>
      <c r="B17" s="3">
        <v>310833286</v>
      </c>
      <c r="C17" s="4" t="d">
        <v>2019-12-09</v>
      </c>
      <c r="D17" s="4" t="d">
        <v>2020-12-31</v>
      </c>
      <c r="E17" s="3" t="s">
        <v>38</v>
      </c>
      <c r="F17" s="6">
        <v>159396</v>
      </c>
      <c r="G17" s="6"/>
      <c r="H17" s="6"/>
      <c r="I17" s="6"/>
      <c r="J17" s="7">
        <v>534078</v>
      </c>
      <c r="K17" s="19">
        <v>168</v>
      </c>
      <c r="L17" s="7">
        <v>533910</v>
      </c>
      <c r="M17" s="7">
        <v>534078</v>
      </c>
      <c r="N17" s="6" t="s">
        <v>37</v>
      </c>
      <c r="O17" s="7">
        <v>133477.5</v>
      </c>
      <c r="P17" s="7">
        <v>0.5</v>
      </c>
      <c r="Q17" s="7">
        <v>133477</v>
      </c>
      <c r="R17" s="7">
        <v>133477</v>
      </c>
      <c r="S17" s="6">
        <v>0.5</v>
      </c>
      <c r="T17" s="7">
        <v>26703.9</v>
      </c>
      <c r="U17" s="7">
        <v>8.9</v>
      </c>
      <c r="V17" s="7">
        <v>26695</v>
      </c>
      <c r="W17" s="7">
        <v>26695</v>
      </c>
      <c r="X17" s="6">
        <v>8.9</v>
      </c>
      <c r="Y17" s="7">
        <v>4450.6499999999996</v>
      </c>
      <c r="Z17" s="7">
        <v>1.65</v>
      </c>
      <c r="AA17" s="7">
        <v>4449</v>
      </c>
      <c r="AB17" s="7">
        <v>4449</v>
      </c>
      <c r="AC17" s="6">
        <v>1.65</v>
      </c>
      <c r="AD17" s="7">
        <v>44492.5</v>
      </c>
      <c r="AE17" s="7">
        <v>0.5</v>
      </c>
      <c r="AF17" s="7">
        <v>44492</v>
      </c>
      <c r="AG17" s="7">
        <v>44491</v>
      </c>
      <c r="AH17" s="6">
        <v>1.5</v>
      </c>
      <c r="AI17" s="7">
        <v>47304.28</v>
      </c>
      <c r="AJ17" s="7">
        <v>47304.28</v>
      </c>
      <c r="AK17" s="7" t="s">
        <v>37</v>
      </c>
      <c r="AL17" s="7">
        <v>47304</v>
      </c>
      <c r="AM17" s="7">
        <v>0.28000000000000003</v>
      </c>
    </row>
    <row r="18" spans="1:40" x14ac:dyDescent="0.2">
      <c r="B18" s="12"/>
      <c r="C18" s="13"/>
      <c r="D18" s="13"/>
      <c r="E18" s="12"/>
      <c r="F18" s="18"/>
      <c r="G18" s="18">
        <v>890130</v>
      </c>
      <c r="H18" s="18">
        <v>280</v>
      </c>
      <c r="I18" s="18">
        <f>G18-H18</f>
        <v>889850</v>
      </c>
      <c r="J18" s="14">
        <f>J$1*$G18</f>
        <v>534078</v>
      </c>
      <c r="K18" s="14">
        <f>K$1*$H18</f>
        <v>168</v>
      </c>
      <c r="L18" s="14">
        <f>L$1*$I18</f>
        <v>533910</v>
      </c>
      <c r="M18" s="14"/>
      <c r="N18" s="18"/>
      <c r="O18" s="14">
        <f>O$1*$G18</f>
        <v>133519.5</v>
      </c>
      <c r="P18" s="14">
        <f>P$1*$H18</f>
        <v>42</v>
      </c>
      <c r="Q18" s="14">
        <f>Q$1*$I18</f>
        <v>133477.5</v>
      </c>
      <c r="R18" s="14"/>
      <c r="S18" s="18"/>
      <c r="T18" s="14">
        <f>T$1*$G18</f>
        <v>26703.899999999998</v>
      </c>
      <c r="U18" s="14">
        <f>U$1*$H18</f>
        <v>8.4</v>
      </c>
      <c r="V18" s="14">
        <f>V$1*$I18</f>
        <v>26695.5</v>
      </c>
      <c r="W18" s="14"/>
      <c r="X18" s="18"/>
      <c r="Y18" s="14">
        <f>Y$1*$G18</f>
        <v>4450.6500000000005</v>
      </c>
      <c r="Z18" s="14">
        <f>Z$1*$H18</f>
        <v>1.4000000000000001</v>
      </c>
      <c r="AA18" s="14">
        <f>AA$1*$I18</f>
        <v>4449.25</v>
      </c>
      <c r="AB18" s="14"/>
      <c r="AC18" s="18"/>
      <c r="AD18" s="14">
        <f>AD$1*$G18</f>
        <v>44506.5</v>
      </c>
      <c r="AE18" s="14">
        <f>AE$1*$H18</f>
        <v>14</v>
      </c>
      <c r="AF18" s="14">
        <f>AF$1*$I18</f>
        <v>44492.5</v>
      </c>
      <c r="AG18" s="14"/>
      <c r="AH18" s="18"/>
      <c r="AI18" s="14"/>
      <c r="AJ18" s="14"/>
      <c r="AK18" s="14"/>
      <c r="AL18" s="14"/>
      <c r="AM18" s="14"/>
      <c r="AN18" s="15"/>
    </row>
    <row r="19" spans="1:40" x14ac:dyDescent="0.2">
      <c r="A19" s="20">
        <f>A17+1</f>
        <v>9</v>
      </c>
      <c r="B19" s="3">
        <v>310833310</v>
      </c>
      <c r="C19" s="4" t="d">
        <v>2019-12-09</v>
      </c>
      <c r="D19" s="4" t="d">
        <v>2020-12-31</v>
      </c>
      <c r="E19" s="3" t="s">
        <v>36</v>
      </c>
      <c r="F19" s="6">
        <v>390</v>
      </c>
      <c r="G19" s="6"/>
      <c r="H19" s="6"/>
      <c r="I19" s="6"/>
      <c r="J19" s="7">
        <v>577638</v>
      </c>
      <c r="K19" s="7">
        <v>2160</v>
      </c>
      <c r="L19" s="7">
        <v>575478</v>
      </c>
      <c r="M19" s="7">
        <v>539838</v>
      </c>
      <c r="N19" s="6">
        <v>37800</v>
      </c>
      <c r="O19" s="7">
        <v>143869.5</v>
      </c>
      <c r="P19" s="7">
        <v>0.5</v>
      </c>
      <c r="Q19" s="7">
        <v>143869</v>
      </c>
      <c r="R19" s="7">
        <v>143869</v>
      </c>
      <c r="S19" s="6">
        <v>0.5</v>
      </c>
      <c r="T19" s="7">
        <v>28881.9</v>
      </c>
      <c r="U19" s="7">
        <v>108.9</v>
      </c>
      <c r="V19" s="7">
        <v>28773</v>
      </c>
      <c r="W19" s="7">
        <v>1682</v>
      </c>
      <c r="X19" s="6">
        <v>27199.9</v>
      </c>
      <c r="Y19" s="7">
        <v>4813.6499999999996</v>
      </c>
      <c r="Z19" s="7">
        <v>18.649999999999999</v>
      </c>
      <c r="AA19" s="7">
        <v>4795</v>
      </c>
      <c r="AB19" s="7">
        <v>4795</v>
      </c>
      <c r="AC19" s="6">
        <v>18.649999999999999</v>
      </c>
      <c r="AD19" s="7">
        <v>47956.5</v>
      </c>
      <c r="AE19" s="7">
        <v>0.5</v>
      </c>
      <c r="AF19" s="7">
        <v>47956</v>
      </c>
      <c r="AG19" s="7">
        <v>47955</v>
      </c>
      <c r="AH19" s="6">
        <v>1.5</v>
      </c>
      <c r="AI19" s="7">
        <v>67914.47</v>
      </c>
      <c r="AJ19" s="7">
        <v>67914.47</v>
      </c>
      <c r="AK19" s="7" t="s">
        <v>37</v>
      </c>
      <c r="AL19" s="7" t="s">
        <v>37</v>
      </c>
      <c r="AM19" s="7">
        <v>67914.47</v>
      </c>
    </row>
    <row r="20" spans="1:40" x14ac:dyDescent="0.2">
      <c r="B20" s="12"/>
      <c r="C20" s="13"/>
      <c r="D20" s="13"/>
      <c r="E20" s="12"/>
      <c r="F20" s="18"/>
      <c r="G20" s="18">
        <v>962730</v>
      </c>
      <c r="H20" s="18">
        <v>3600</v>
      </c>
      <c r="I20" s="18">
        <f>G20-H20</f>
        <v>959130</v>
      </c>
      <c r="J20" s="14">
        <f>J$1*$G20</f>
        <v>577638</v>
      </c>
      <c r="K20" s="14">
        <f>K$1*$H20</f>
        <v>2160</v>
      </c>
      <c r="L20" s="14">
        <f>L$1*$I20</f>
        <v>575478</v>
      </c>
      <c r="M20" s="14"/>
      <c r="N20" s="18"/>
      <c r="O20" s="14">
        <f>O$1*$G20</f>
        <v>144409.5</v>
      </c>
      <c r="P20" s="14">
        <f>P$1*$H20</f>
        <v>540</v>
      </c>
      <c r="Q20" s="14">
        <f>Q$1*$I20</f>
        <v>143869.5</v>
      </c>
      <c r="R20" s="14"/>
      <c r="S20" s="18"/>
      <c r="T20" s="14">
        <f>T$1*$G20</f>
        <v>28881.899999999998</v>
      </c>
      <c r="U20" s="14">
        <f>U$1*$H20</f>
        <v>108</v>
      </c>
      <c r="V20" s="14">
        <f>V$1*$I20</f>
        <v>28773.899999999998</v>
      </c>
      <c r="W20" s="14"/>
      <c r="X20" s="18"/>
      <c r="Y20" s="14">
        <f>Y$1*$G20</f>
        <v>4813.6500000000005</v>
      </c>
      <c r="Z20" s="14">
        <f>Z$1*$H20</f>
        <v>18</v>
      </c>
      <c r="AA20" s="14">
        <f>AA$1*$I20</f>
        <v>4795.6500000000005</v>
      </c>
      <c r="AB20" s="14"/>
      <c r="AC20" s="18"/>
      <c r="AD20" s="14">
        <f>AD$1*$G20</f>
        <v>48136.5</v>
      </c>
      <c r="AE20" s="14">
        <f>AE$1*$H20</f>
        <v>180</v>
      </c>
      <c r="AF20" s="14">
        <f>AF$1*$I20</f>
        <v>47956.5</v>
      </c>
      <c r="AG20" s="14"/>
      <c r="AH20" s="18"/>
      <c r="AI20" s="14"/>
      <c r="AJ20" s="14"/>
      <c r="AK20" s="14"/>
      <c r="AL20" s="14"/>
      <c r="AM20" s="14"/>
      <c r="AN20" s="15"/>
    </row>
    <row r="21" spans="1:40" x14ac:dyDescent="0.2">
      <c r="A21" s="20">
        <f>A19+1</f>
        <v>10</v>
      </c>
      <c r="B21" s="3">
        <v>310833304</v>
      </c>
      <c r="C21" s="4" t="d">
        <v>2019-12-09</v>
      </c>
      <c r="D21" s="4" t="d">
        <v>2020-12-31</v>
      </c>
      <c r="E21" s="3" t="s">
        <v>39</v>
      </c>
      <c r="F21" s="6">
        <v>1431393</v>
      </c>
      <c r="G21" s="6"/>
      <c r="H21" s="6"/>
      <c r="I21" s="6"/>
      <c r="J21" s="7">
        <v>7185473.8600000003</v>
      </c>
      <c r="K21" s="7">
        <v>2127493.86</v>
      </c>
      <c r="L21" s="7">
        <v>5057980</v>
      </c>
      <c r="M21" s="7">
        <v>7185473</v>
      </c>
      <c r="N21" s="6">
        <v>0.86</v>
      </c>
      <c r="O21" s="7">
        <v>1796368.47</v>
      </c>
      <c r="P21" s="7">
        <v>531873.47</v>
      </c>
      <c r="Q21" s="7">
        <v>1264495</v>
      </c>
      <c r="R21" s="7">
        <v>1264495</v>
      </c>
      <c r="S21" s="6">
        <v>531873.47</v>
      </c>
      <c r="T21" s="7">
        <v>359273.69</v>
      </c>
      <c r="U21" s="7">
        <v>106374.69</v>
      </c>
      <c r="V21" s="7">
        <v>252899</v>
      </c>
      <c r="W21" s="7">
        <v>160015</v>
      </c>
      <c r="X21" s="6">
        <v>199258.69</v>
      </c>
      <c r="Y21" s="7">
        <v>59878.95</v>
      </c>
      <c r="Z21" s="7">
        <v>17729.95</v>
      </c>
      <c r="AA21" s="7">
        <v>42149</v>
      </c>
      <c r="AB21" s="7">
        <v>42149</v>
      </c>
      <c r="AC21" s="6">
        <v>17729.95</v>
      </c>
      <c r="AD21" s="7">
        <v>598789.49</v>
      </c>
      <c r="AE21" s="7">
        <v>177291.49</v>
      </c>
      <c r="AF21" s="7">
        <v>421498</v>
      </c>
      <c r="AG21" s="7">
        <v>421497</v>
      </c>
      <c r="AH21" s="6">
        <v>177292.49</v>
      </c>
      <c r="AI21" s="7"/>
      <c r="AJ21" s="7"/>
      <c r="AK21" s="7"/>
      <c r="AL21" s="7"/>
      <c r="AM21" s="7"/>
    </row>
    <row r="22" spans="1:40" x14ac:dyDescent="0.2">
      <c r="B22" s="12"/>
      <c r="C22" s="13"/>
      <c r="D22" s="13"/>
      <c r="E22" s="12"/>
      <c r="F22" s="18"/>
      <c r="G22" s="18">
        <v>11975789</v>
      </c>
      <c r="H22" s="18">
        <v>3545822</v>
      </c>
      <c r="I22" s="18">
        <v>8429967</v>
      </c>
      <c r="J22" s="14">
        <f>J$1*$G22</f>
        <v>7185473.3999999994</v>
      </c>
      <c r="K22" s="14">
        <f>K$1*$H22</f>
        <v>2127493.1999999997</v>
      </c>
      <c r="L22" s="14">
        <f>L$1*$I22</f>
        <v>5057980.2</v>
      </c>
      <c r="M22" s="14"/>
      <c r="N22" s="18"/>
      <c r="O22" s="14">
        <f>O$1*$G22</f>
        <v>1796368.3499999999</v>
      </c>
      <c r="P22" s="14">
        <f>P$1*$H22</f>
        <v>531873.29999999993</v>
      </c>
      <c r="Q22" s="14">
        <f>Q$1*$I22</f>
        <v>1264495.05</v>
      </c>
      <c r="R22" s="14"/>
      <c r="S22" s="18"/>
      <c r="T22" s="14">
        <f>T$1*$G22</f>
        <v>359273.67</v>
      </c>
      <c r="U22" s="14">
        <f>U$1*$H22</f>
        <v>106374.65999999999</v>
      </c>
      <c r="V22" s="14">
        <f>V$1*$I22</f>
        <v>252899.00999999998</v>
      </c>
      <c r="W22" s="14"/>
      <c r="X22" s="18"/>
      <c r="Y22" s="14">
        <f>Y$1*$G22</f>
        <v>59878.945</v>
      </c>
      <c r="Z22" s="14">
        <f>Z$1*$H22</f>
        <v>17729.11</v>
      </c>
      <c r="AA22" s="14">
        <f>AA$1*$I22</f>
        <v>42149.834999999999</v>
      </c>
      <c r="AB22" s="14"/>
      <c r="AC22" s="18"/>
      <c r="AD22" s="14">
        <f>AD$1*$G22</f>
        <v>598789.45000000007</v>
      </c>
      <c r="AE22" s="14">
        <f>AE$1*$H22</f>
        <v>177291.1</v>
      </c>
      <c r="AF22" s="14">
        <f>AF$1*$I22</f>
        <v>421498.35000000003</v>
      </c>
      <c r="AG22" s="14"/>
      <c r="AH22" s="18"/>
      <c r="AI22" s="14"/>
      <c r="AJ22" s="14"/>
      <c r="AK22" s="14"/>
      <c r="AL22" s="14"/>
      <c r="AM22" s="14"/>
      <c r="AN22" s="15"/>
    </row>
    <row r="23" spans="1:40" x14ac:dyDescent="0.2">
      <c r="A23" s="20">
        <f>A21+1</f>
        <v>11</v>
      </c>
      <c r="B23" s="3">
        <v>310833303</v>
      </c>
      <c r="C23" s="4" t="d">
        <v>2019-12-09</v>
      </c>
      <c r="D23" s="4" t="d">
        <v>2020-12-31</v>
      </c>
      <c r="E23" s="3" t="s">
        <v>38</v>
      </c>
      <c r="F23" s="6">
        <v>98323</v>
      </c>
      <c r="G23" s="6"/>
      <c r="H23" s="6"/>
      <c r="I23" s="6"/>
      <c r="J23" s="7">
        <v>536627.52</v>
      </c>
      <c r="K23" s="7">
        <v>168.52</v>
      </c>
      <c r="L23" s="7">
        <v>536459</v>
      </c>
      <c r="M23" s="7">
        <v>536627</v>
      </c>
      <c r="N23" s="6">
        <v>0.52</v>
      </c>
      <c r="O23" s="7">
        <v>134114.48000000001</v>
      </c>
      <c r="P23" s="7">
        <v>0.48</v>
      </c>
      <c r="Q23" s="7">
        <v>134114</v>
      </c>
      <c r="R23" s="7">
        <v>134114</v>
      </c>
      <c r="S23" s="6">
        <v>0.48</v>
      </c>
      <c r="T23" s="7">
        <v>26831.37</v>
      </c>
      <c r="U23" s="7">
        <v>9.3699999999999992</v>
      </c>
      <c r="V23" s="7">
        <v>26822</v>
      </c>
      <c r="W23" s="7">
        <v>13055</v>
      </c>
      <c r="X23" s="6">
        <v>13776.37</v>
      </c>
      <c r="Y23" s="7">
        <v>4471.8900000000003</v>
      </c>
      <c r="Z23" s="7">
        <v>1.89</v>
      </c>
      <c r="AA23" s="7">
        <v>4470</v>
      </c>
      <c r="AB23" s="7">
        <v>4470</v>
      </c>
      <c r="AC23" s="6">
        <v>1.89</v>
      </c>
      <c r="AD23" s="7">
        <v>44704.959999999999</v>
      </c>
      <c r="AE23" s="7">
        <v>0.96</v>
      </c>
      <c r="AF23" s="7">
        <v>44704</v>
      </c>
      <c r="AG23" s="7">
        <v>44700</v>
      </c>
      <c r="AH23" s="6">
        <v>4.96</v>
      </c>
      <c r="AI23" s="7">
        <v>52692.12</v>
      </c>
      <c r="AJ23" s="7">
        <v>52692.12</v>
      </c>
      <c r="AK23" s="7" t="s">
        <v>37</v>
      </c>
      <c r="AL23" s="7">
        <v>52692</v>
      </c>
      <c r="AM23" s="6">
        <v>0.12</v>
      </c>
    </row>
    <row r="24" spans="1:40" x14ac:dyDescent="0.2">
      <c r="B24" s="12"/>
      <c r="C24" s="13"/>
      <c r="D24" s="13"/>
      <c r="E24" s="12"/>
      <c r="F24" s="18"/>
      <c r="G24" s="18">
        <v>891379</v>
      </c>
      <c r="H24" s="18">
        <v>280</v>
      </c>
      <c r="I24" s="18">
        <f>G24-H24</f>
        <v>891099</v>
      </c>
      <c r="J24" s="14">
        <f>J$1*$G24</f>
        <v>534827.4</v>
      </c>
      <c r="K24" s="14">
        <f>K$1*$H24</f>
        <v>168</v>
      </c>
      <c r="L24" s="14">
        <f>L$1*$I24</f>
        <v>534659.4</v>
      </c>
      <c r="M24" s="14"/>
      <c r="N24" s="18"/>
      <c r="O24" s="14">
        <f>O$1*$G24</f>
        <v>133706.85</v>
      </c>
      <c r="P24" s="14">
        <f>P$1*$H24</f>
        <v>42</v>
      </c>
      <c r="Q24" s="14">
        <f>Q$1*$I24</f>
        <v>133664.85</v>
      </c>
      <c r="R24" s="14"/>
      <c r="S24" s="18"/>
      <c r="T24" s="14">
        <f>T$1*$G24</f>
        <v>26741.37</v>
      </c>
      <c r="U24" s="14">
        <f>U$1*$H24</f>
        <v>8.4</v>
      </c>
      <c r="V24" s="14">
        <f>V$1*$I24</f>
        <v>26732.969999999998</v>
      </c>
      <c r="W24" s="14"/>
      <c r="X24" s="18"/>
      <c r="Y24" s="14">
        <f>Y$1*$G24</f>
        <v>4456.8950000000004</v>
      </c>
      <c r="Z24" s="14">
        <f>Z$1*$H24</f>
        <v>1.4000000000000001</v>
      </c>
      <c r="AA24" s="14">
        <f>AA$1*$I24</f>
        <v>4455.4949999999999</v>
      </c>
      <c r="AB24" s="14"/>
      <c r="AC24" s="18"/>
      <c r="AD24" s="14">
        <f>AD$1*$G24</f>
        <v>44568.950000000004</v>
      </c>
      <c r="AE24" s="14">
        <f>AE$1*$H24</f>
        <v>14</v>
      </c>
      <c r="AF24" s="14">
        <f>AF$1*$I24</f>
        <v>44554.950000000004</v>
      </c>
      <c r="AG24" s="14"/>
      <c r="AH24" s="18"/>
      <c r="AI24" s="14"/>
      <c r="AJ24" s="14"/>
      <c r="AK24" s="14"/>
      <c r="AL24" s="14"/>
      <c r="AM24" s="14"/>
      <c r="AN24" s="15"/>
    </row>
    <row r="25" spans="1:40" x14ac:dyDescent="0.2">
      <c r="A25" s="20">
        <f>A23+1</f>
        <v>12</v>
      </c>
      <c r="B25" s="3">
        <v>310833305</v>
      </c>
      <c r="C25" s="4" t="d">
        <v>2019-12-09</v>
      </c>
      <c r="D25" s="4" t="d">
        <v>2020-12-31</v>
      </c>
      <c r="E25" s="3" t="s">
        <v>38</v>
      </c>
      <c r="F25" s="6">
        <v>119897</v>
      </c>
      <c r="G25" s="6"/>
      <c r="H25" s="6"/>
      <c r="I25" s="6"/>
      <c r="J25" s="7">
        <v>432102.78</v>
      </c>
      <c r="K25" s="7">
        <v>168.78</v>
      </c>
      <c r="L25" s="7">
        <v>431934</v>
      </c>
      <c r="M25" s="7">
        <v>432102</v>
      </c>
      <c r="N25" s="6">
        <v>0.78</v>
      </c>
      <c r="O25" s="7">
        <v>107983.69</v>
      </c>
      <c r="P25" s="7">
        <v>0.69</v>
      </c>
      <c r="Q25" s="7">
        <v>107983</v>
      </c>
      <c r="R25" s="7">
        <v>107983</v>
      </c>
      <c r="S25" s="6">
        <v>0.69</v>
      </c>
      <c r="T25" s="7">
        <v>21605.14</v>
      </c>
      <c r="U25" s="7">
        <v>9.14</v>
      </c>
      <c r="V25" s="7">
        <v>21596</v>
      </c>
      <c r="W25" s="7" t="s">
        <v>37</v>
      </c>
      <c r="X25" s="6">
        <v>21605.14</v>
      </c>
      <c r="Y25" s="7">
        <v>3600.85</v>
      </c>
      <c r="Z25" s="7">
        <v>1.85</v>
      </c>
      <c r="AA25" s="7">
        <v>3599</v>
      </c>
      <c r="AB25" s="7">
        <v>3599</v>
      </c>
      <c r="AC25" s="6">
        <v>1.85</v>
      </c>
      <c r="AD25" s="7">
        <v>35994.97</v>
      </c>
      <c r="AE25" s="7">
        <v>0.97</v>
      </c>
      <c r="AF25" s="7">
        <v>35994</v>
      </c>
      <c r="AG25" s="7">
        <v>35990</v>
      </c>
      <c r="AH25" s="6">
        <v>4.97</v>
      </c>
      <c r="AI25" s="7">
        <v>45003.26</v>
      </c>
      <c r="AJ25" s="7">
        <v>45003.26</v>
      </c>
      <c r="AK25" s="7" t="s">
        <v>37</v>
      </c>
      <c r="AL25" s="7">
        <v>45003</v>
      </c>
      <c r="AM25" s="6">
        <v>0.26</v>
      </c>
    </row>
    <row r="26" spans="1:40" x14ac:dyDescent="0.2">
      <c r="B26" s="12"/>
      <c r="C26" s="13"/>
      <c r="D26" s="13"/>
      <c r="E26" s="12"/>
      <c r="F26" s="18"/>
      <c r="G26" s="18">
        <v>720171</v>
      </c>
      <c r="H26" s="18">
        <v>280</v>
      </c>
      <c r="I26" s="18">
        <f>G26-H26</f>
        <v>719891</v>
      </c>
      <c r="J26" s="14">
        <f>J$1*$G26</f>
        <v>432102.6</v>
      </c>
      <c r="K26" s="14">
        <f>K$1*$H26</f>
        <v>168</v>
      </c>
      <c r="L26" s="14">
        <f>L$1*$I26</f>
        <v>431934.6</v>
      </c>
      <c r="M26" s="14"/>
      <c r="N26" s="18"/>
      <c r="O26" s="14">
        <f>O$1*$G26</f>
        <v>108025.65</v>
      </c>
      <c r="P26" s="14">
        <f>P$1*$H26</f>
        <v>42</v>
      </c>
      <c r="Q26" s="14">
        <f>Q$1*$I26</f>
        <v>107983.65</v>
      </c>
      <c r="R26" s="14"/>
      <c r="S26" s="18"/>
      <c r="T26" s="14">
        <f>T$1*$G26</f>
        <v>21605.13</v>
      </c>
      <c r="U26" s="14">
        <f>U$1*$H26</f>
        <v>8.4</v>
      </c>
      <c r="V26" s="14">
        <f>V$1*$I26</f>
        <v>21596.73</v>
      </c>
      <c r="W26" s="14"/>
      <c r="X26" s="18"/>
      <c r="Y26" s="14">
        <f>Y$1*$G26</f>
        <v>3600.855</v>
      </c>
      <c r="Z26" s="14">
        <f>Z$1*$H26</f>
        <v>1.4000000000000001</v>
      </c>
      <c r="AA26" s="14">
        <f>AA$1*$I26</f>
        <v>3599.4549999999999</v>
      </c>
      <c r="AB26" s="14"/>
      <c r="AC26" s="18"/>
      <c r="AD26" s="14">
        <f>AD$1*$G26</f>
        <v>36008.550000000003</v>
      </c>
      <c r="AE26" s="14">
        <f>AE$1*$H26</f>
        <v>14</v>
      </c>
      <c r="AF26" s="14">
        <f>AF$1*$I26</f>
        <v>35994.550000000003</v>
      </c>
      <c r="AG26" s="14"/>
      <c r="AH26" s="18"/>
      <c r="AI26" s="14"/>
      <c r="AJ26" s="14"/>
      <c r="AK26" s="14"/>
      <c r="AL26" s="14"/>
      <c r="AM26" s="14"/>
      <c r="AN26" s="15"/>
    </row>
    <row r="27" spans="1:40" x14ac:dyDescent="0.2">
      <c r="A27" s="20">
        <f>A25+1</f>
        <v>13</v>
      </c>
      <c r="B27" s="3">
        <v>310833321</v>
      </c>
      <c r="C27" s="4" t="d">
        <v>2019-12-10</v>
      </c>
      <c r="D27" s="4" t="d">
        <v>2020-12-31</v>
      </c>
      <c r="E27" s="3" t="s">
        <v>38</v>
      </c>
      <c r="F27" s="6">
        <v>194136</v>
      </c>
      <c r="G27" s="6"/>
      <c r="H27" s="6"/>
      <c r="I27" s="6"/>
      <c r="J27" s="7">
        <v>571407.15</v>
      </c>
      <c r="K27" s="7">
        <v>168.15</v>
      </c>
      <c r="L27" s="7">
        <v>571239</v>
      </c>
      <c r="M27" s="7">
        <v>571407</v>
      </c>
      <c r="N27" s="6">
        <v>0.15</v>
      </c>
      <c r="O27" s="7">
        <v>142809.79</v>
      </c>
      <c r="P27" s="7">
        <v>0.79</v>
      </c>
      <c r="Q27" s="7">
        <v>142809</v>
      </c>
      <c r="R27" s="7">
        <v>142809</v>
      </c>
      <c r="S27" s="6">
        <v>0.79</v>
      </c>
      <c r="T27" s="7">
        <v>28570.36</v>
      </c>
      <c r="U27" s="7">
        <v>9.36</v>
      </c>
      <c r="V27" s="7">
        <v>28561</v>
      </c>
      <c r="W27" s="7" t="s">
        <v>37</v>
      </c>
      <c r="X27" s="6">
        <v>28570.36</v>
      </c>
      <c r="Y27" s="7">
        <v>4761.7299999999996</v>
      </c>
      <c r="Z27" s="7">
        <v>1.73</v>
      </c>
      <c r="AA27" s="7">
        <v>4760</v>
      </c>
      <c r="AB27" s="7">
        <v>4759</v>
      </c>
      <c r="AC27" s="6">
        <v>2.73</v>
      </c>
      <c r="AD27" s="7">
        <v>47603.26</v>
      </c>
      <c r="AE27" s="7">
        <v>0.26</v>
      </c>
      <c r="AF27" s="7">
        <v>47603</v>
      </c>
      <c r="AG27" s="7">
        <v>47600</v>
      </c>
      <c r="AH27" s="6">
        <v>3.26</v>
      </c>
      <c r="AI27" s="7">
        <v>44590.02</v>
      </c>
      <c r="AJ27" s="7">
        <v>44590.02</v>
      </c>
      <c r="AK27" s="7" t="s">
        <v>37</v>
      </c>
      <c r="AL27" s="7">
        <v>44590</v>
      </c>
      <c r="AM27" s="6">
        <v>0.01</v>
      </c>
    </row>
    <row r="28" spans="1:40" x14ac:dyDescent="0.2">
      <c r="B28" s="12"/>
      <c r="C28" s="13"/>
      <c r="D28" s="13"/>
      <c r="E28" s="12"/>
      <c r="F28" s="18"/>
      <c r="G28" s="18">
        <v>952345</v>
      </c>
      <c r="H28" s="18">
        <v>280</v>
      </c>
      <c r="I28" s="18">
        <f>G28-H28</f>
        <v>952065</v>
      </c>
      <c r="J28" s="14">
        <f>J$1*$G28</f>
        <v>571407</v>
      </c>
      <c r="K28" s="14">
        <f>K$1*$H28</f>
        <v>168</v>
      </c>
      <c r="L28" s="14">
        <f>L$1*$I28</f>
        <v>571239</v>
      </c>
      <c r="M28" s="14"/>
      <c r="N28" s="18"/>
      <c r="O28" s="14">
        <f>O$1*$G28</f>
        <v>142851.75</v>
      </c>
      <c r="P28" s="14">
        <f>P$1*$H28</f>
        <v>42</v>
      </c>
      <c r="Q28" s="14">
        <f>Q$1*$I28</f>
        <v>142809.75</v>
      </c>
      <c r="R28" s="14"/>
      <c r="S28" s="18"/>
      <c r="T28" s="14">
        <f>T$1*$G28</f>
        <v>28570.35</v>
      </c>
      <c r="U28" s="14">
        <f>U$1*$H28</f>
        <v>8.4</v>
      </c>
      <c r="V28" s="14">
        <f>V$1*$I28</f>
        <v>28561.95</v>
      </c>
      <c r="W28" s="14"/>
      <c r="X28" s="18"/>
      <c r="Y28" s="14">
        <f>Y$1*$G28</f>
        <v>4761.7250000000004</v>
      </c>
      <c r="Z28" s="14">
        <f>Z$1*$H28</f>
        <v>1.4000000000000001</v>
      </c>
      <c r="AA28" s="14">
        <f>AA$1*$I28</f>
        <v>4760.3249999999998</v>
      </c>
      <c r="AB28" s="14"/>
      <c r="AC28" s="18"/>
      <c r="AD28" s="14">
        <f>AD$1*$G28</f>
        <v>47617.25</v>
      </c>
      <c r="AE28" s="14">
        <f>AE$1*$H28</f>
        <v>14</v>
      </c>
      <c r="AF28" s="14">
        <f>AF$1*$I28</f>
        <v>47603.25</v>
      </c>
      <c r="AG28" s="14"/>
      <c r="AH28" s="18"/>
      <c r="AI28" s="14"/>
      <c r="AJ28" s="14"/>
      <c r="AK28" s="14"/>
      <c r="AL28" s="14"/>
      <c r="AM28" s="14"/>
      <c r="AN28" s="15"/>
    </row>
    <row r="29" spans="1:40" x14ac:dyDescent="0.2">
      <c r="A29" s="20">
        <f>A27+1</f>
        <v>14</v>
      </c>
      <c r="B29" s="3">
        <v>310833996</v>
      </c>
      <c r="C29" s="4" t="d">
        <v>2020-01-08</v>
      </c>
      <c r="D29" s="4" t="d">
        <v>2021-01-31</v>
      </c>
      <c r="E29" s="3" t="s">
        <v>40</v>
      </c>
      <c r="F29" s="6">
        <v>1978824</v>
      </c>
      <c r="G29" s="6"/>
      <c r="H29" s="6"/>
      <c r="I29" s="6"/>
      <c r="J29" s="7">
        <v>1745557.46</v>
      </c>
      <c r="K29" s="7">
        <v>1230948.46</v>
      </c>
      <c r="L29" s="7">
        <v>514609</v>
      </c>
      <c r="M29" s="7" t="s">
        <v>37</v>
      </c>
      <c r="N29" s="6">
        <v>1745557.46</v>
      </c>
      <c r="O29" s="7">
        <v>436389.37</v>
      </c>
      <c r="P29" s="7">
        <v>307737.37</v>
      </c>
      <c r="Q29" s="7">
        <v>128652</v>
      </c>
      <c r="R29" s="7">
        <v>128652</v>
      </c>
      <c r="S29" s="6">
        <v>307737.37</v>
      </c>
      <c r="T29" s="7">
        <v>87277.69</v>
      </c>
      <c r="U29" s="7">
        <v>61547.69</v>
      </c>
      <c r="V29" s="7">
        <v>25730</v>
      </c>
      <c r="W29" s="7" t="s">
        <v>37</v>
      </c>
      <c r="X29" s="6">
        <v>87277.69</v>
      </c>
      <c r="Y29" s="7">
        <v>14546.3</v>
      </c>
      <c r="Z29" s="7">
        <v>10258.299999999999</v>
      </c>
      <c r="AA29" s="7">
        <v>4288</v>
      </c>
      <c r="AB29" s="7">
        <v>4288</v>
      </c>
      <c r="AC29" s="6">
        <v>10258.299999999999</v>
      </c>
      <c r="AD29" s="7">
        <v>145463.10999999999</v>
      </c>
      <c r="AE29" s="7">
        <v>102579.11</v>
      </c>
      <c r="AF29" s="7">
        <v>42884</v>
      </c>
      <c r="AG29" s="7">
        <v>42880</v>
      </c>
      <c r="AH29" s="6">
        <v>102583.11</v>
      </c>
      <c r="AI29" s="7">
        <v>383574.04</v>
      </c>
      <c r="AJ29" s="7">
        <v>285519.03999999998</v>
      </c>
      <c r="AK29" s="7">
        <v>98055</v>
      </c>
      <c r="AL29" s="7">
        <v>383574</v>
      </c>
      <c r="AM29" s="6">
        <v>0.04</v>
      </c>
    </row>
    <row r="30" spans="1:40" x14ac:dyDescent="0.2">
      <c r="B30" s="12"/>
      <c r="C30" s="13"/>
      <c r="D30" s="13"/>
      <c r="E30" s="12"/>
      <c r="F30" s="18"/>
      <c r="G30" s="18">
        <f>H30+I30</f>
        <v>2909261</v>
      </c>
      <c r="H30" s="18">
        <v>2051579</v>
      </c>
      <c r="I30" s="18">
        <v>857682</v>
      </c>
      <c r="J30" s="14">
        <f>J$1*$G30</f>
        <v>1745556.5999999999</v>
      </c>
      <c r="K30" s="14">
        <f>K$1*$H30</f>
        <v>1230947.3999999999</v>
      </c>
      <c r="L30" s="14">
        <f>L$1*$I30</f>
        <v>514609.19999999995</v>
      </c>
      <c r="M30" s="14"/>
      <c r="N30" s="18"/>
      <c r="O30" s="14">
        <f>O$1*$G30</f>
        <v>436389.14999999997</v>
      </c>
      <c r="P30" s="14">
        <f>P$1*$H30</f>
        <v>307736.84999999998</v>
      </c>
      <c r="Q30" s="14">
        <f>Q$1*$I30</f>
        <v>128652.29999999999</v>
      </c>
      <c r="R30" s="14"/>
      <c r="S30" s="18"/>
      <c r="T30" s="14">
        <f>T$1*$G30</f>
        <v>87277.83</v>
      </c>
      <c r="U30" s="14">
        <f>U$1*$H30</f>
        <v>61547.369999999995</v>
      </c>
      <c r="V30" s="14">
        <f>V$1*$I30</f>
        <v>25730.46</v>
      </c>
      <c r="W30" s="14"/>
      <c r="X30" s="18"/>
      <c r="Y30" s="14">
        <f>Y$1*$G30</f>
        <v>14546.305</v>
      </c>
      <c r="Z30" s="14">
        <f>Z$1*$H30</f>
        <v>10257.895</v>
      </c>
      <c r="AA30" s="14">
        <f>AA$1*$I30</f>
        <v>4288.41</v>
      </c>
      <c r="AB30" s="14"/>
      <c r="AC30" s="18"/>
      <c r="AD30" s="14">
        <f>AD$1*$G30</f>
        <v>145463.05000000002</v>
      </c>
      <c r="AE30" s="14">
        <f>AE$1*$H30</f>
        <v>102578.95000000001</v>
      </c>
      <c r="AF30" s="14">
        <f>AF$1*$I30</f>
        <v>42884.100000000006</v>
      </c>
      <c r="AG30" s="14"/>
      <c r="AH30" s="18"/>
      <c r="AI30" s="14"/>
      <c r="AJ30" s="14"/>
      <c r="AK30" s="14"/>
      <c r="AL30" s="14"/>
      <c r="AM30" s="14"/>
      <c r="AN30" s="15"/>
    </row>
    <row r="31" spans="1:40" x14ac:dyDescent="0.2">
      <c r="A31" s="20">
        <f>A29+1</f>
        <v>15</v>
      </c>
      <c r="B31" s="3">
        <v>310834153</v>
      </c>
      <c r="C31" s="4" t="d">
        <v>2020-01-15</v>
      </c>
      <c r="D31" s="4" t="d">
        <v>2021-01-31</v>
      </c>
      <c r="E31" s="3" t="s">
        <v>41</v>
      </c>
      <c r="F31" s="6">
        <v>429483</v>
      </c>
      <c r="G31" s="6"/>
      <c r="H31" s="6"/>
      <c r="I31" s="6"/>
      <c r="J31" s="7">
        <v>744478.21</v>
      </c>
      <c r="K31" s="7">
        <v>102375.21</v>
      </c>
      <c r="L31" s="7">
        <v>642103</v>
      </c>
      <c r="M31" s="7" t="s">
        <v>37</v>
      </c>
      <c r="N31" s="6">
        <v>744478.21</v>
      </c>
      <c r="O31" s="7">
        <v>186119.55</v>
      </c>
      <c r="P31" s="7">
        <v>25594.55</v>
      </c>
      <c r="Q31" s="7">
        <v>160525</v>
      </c>
      <c r="R31" s="7">
        <v>111649</v>
      </c>
      <c r="S31" s="6">
        <v>74470.55</v>
      </c>
      <c r="T31" s="7">
        <v>37223.910000000003</v>
      </c>
      <c r="U31" s="7">
        <v>5118.91</v>
      </c>
      <c r="V31" s="7">
        <v>32105</v>
      </c>
      <c r="W31" s="7" t="s">
        <v>37</v>
      </c>
      <c r="X31" s="6">
        <v>37223.910000000003</v>
      </c>
      <c r="Y31" s="7">
        <v>6203.98</v>
      </c>
      <c r="Z31" s="7">
        <v>853.98</v>
      </c>
      <c r="AA31" s="7">
        <v>5350</v>
      </c>
      <c r="AB31" s="7">
        <v>5350</v>
      </c>
      <c r="AC31" s="6">
        <v>853.98</v>
      </c>
      <c r="AD31" s="7">
        <v>62039.85</v>
      </c>
      <c r="AE31" s="7">
        <v>8516.85</v>
      </c>
      <c r="AF31" s="7">
        <v>53523</v>
      </c>
      <c r="AG31" s="7">
        <v>53520</v>
      </c>
      <c r="AH31" s="6">
        <v>8519.85</v>
      </c>
      <c r="AI31" s="7">
        <v>198960</v>
      </c>
      <c r="AJ31" s="7">
        <v>11117</v>
      </c>
      <c r="AK31" s="7">
        <v>187843</v>
      </c>
      <c r="AL31" s="7">
        <v>198960</v>
      </c>
      <c r="AM31" s="6" t="s">
        <v>37</v>
      </c>
    </row>
    <row r="32" spans="1:40" x14ac:dyDescent="0.2">
      <c r="B32" s="12"/>
      <c r="C32" s="13"/>
      <c r="D32" s="13"/>
      <c r="E32" s="12"/>
      <c r="F32" s="18"/>
      <c r="G32" s="18">
        <f>H32+I32</f>
        <v>1241096</v>
      </c>
      <c r="H32" s="18">
        <v>170625</v>
      </c>
      <c r="I32" s="18">
        <v>1070471</v>
      </c>
      <c r="J32" s="14">
        <f>J$1*$G32</f>
        <v>744657.6</v>
      </c>
      <c r="K32" s="14">
        <f>K$1*$H32</f>
        <v>102375</v>
      </c>
      <c r="L32" s="14">
        <f>L$1*$I32</f>
        <v>642282.6</v>
      </c>
      <c r="M32" s="14"/>
      <c r="N32" s="18"/>
      <c r="O32" s="14">
        <f>O$1*$G32</f>
        <v>186164.4</v>
      </c>
      <c r="P32" s="14">
        <f>P$1*$H32</f>
        <v>25593.75</v>
      </c>
      <c r="Q32" s="14">
        <f>Q$1*$I32</f>
        <v>160570.65</v>
      </c>
      <c r="R32" s="14"/>
      <c r="S32" s="18"/>
      <c r="T32" s="14">
        <f>T$1*$G32</f>
        <v>37232.879999999997</v>
      </c>
      <c r="U32" s="14">
        <f>U$1*$H32</f>
        <v>5118.75</v>
      </c>
      <c r="V32" s="14">
        <f>V$1*$I32</f>
        <v>32114.129999999997</v>
      </c>
      <c r="W32" s="14"/>
      <c r="X32" s="18"/>
      <c r="Y32" s="14">
        <f>Y$1*$G32</f>
        <v>6205.4800000000005</v>
      </c>
      <c r="Z32" s="14">
        <f>Z$1*$H32</f>
        <v>853.125</v>
      </c>
      <c r="AA32" s="14">
        <f>AA$1*$I32</f>
        <v>5352.3550000000005</v>
      </c>
      <c r="AB32" s="14"/>
      <c r="AC32" s="18"/>
      <c r="AD32" s="14">
        <f>AD$1*$G32</f>
        <v>62054.8</v>
      </c>
      <c r="AE32" s="14">
        <f>AE$1*$H32</f>
        <v>8531.25</v>
      </c>
      <c r="AF32" s="14">
        <f>AF$1*$I32</f>
        <v>53523.55</v>
      </c>
      <c r="AG32" s="14"/>
      <c r="AH32" s="18"/>
      <c r="AI32" s="14"/>
      <c r="AJ32" s="14"/>
      <c r="AK32" s="14"/>
      <c r="AL32" s="14"/>
      <c r="AM32" s="14"/>
      <c r="AN32" s="15"/>
    </row>
    <row r="33" spans="1:40" x14ac:dyDescent="0.2">
      <c r="A33" s="20">
        <f>A31+1</f>
        <v>16</v>
      </c>
      <c r="B33" s="3">
        <v>310834151</v>
      </c>
      <c r="C33" s="4" t="d">
        <v>2020-01-15</v>
      </c>
      <c r="D33" s="4" t="d">
        <v>2021-01-31</v>
      </c>
      <c r="E33" s="3" t="s">
        <v>42</v>
      </c>
      <c r="F33" s="6">
        <v>49305</v>
      </c>
      <c r="G33" s="6"/>
      <c r="H33" s="6"/>
      <c r="I33" s="6"/>
      <c r="J33" s="7">
        <v>276007.2</v>
      </c>
      <c r="K33" s="7" t="s">
        <v>37</v>
      </c>
      <c r="L33" s="7">
        <v>276007.2</v>
      </c>
      <c r="M33" s="7">
        <v>276007</v>
      </c>
      <c r="N33" s="6">
        <v>0.2</v>
      </c>
      <c r="O33" s="7">
        <v>69001.8</v>
      </c>
      <c r="P33" s="7" t="s">
        <v>37</v>
      </c>
      <c r="Q33" s="7">
        <v>69001.8</v>
      </c>
      <c r="R33" s="7">
        <v>55650</v>
      </c>
      <c r="S33" s="6">
        <v>13351.8</v>
      </c>
      <c r="T33" s="7">
        <v>13800.36</v>
      </c>
      <c r="U33" s="7">
        <v>0</v>
      </c>
      <c r="V33" s="7">
        <v>13800.36</v>
      </c>
      <c r="W33" s="7" t="s">
        <v>37</v>
      </c>
      <c r="X33" s="6">
        <v>13800.36</v>
      </c>
      <c r="Y33" s="7">
        <v>2300.06</v>
      </c>
      <c r="Z33" s="7" t="s">
        <v>37</v>
      </c>
      <c r="AA33" s="7">
        <v>2300.06</v>
      </c>
      <c r="AB33" s="7">
        <v>2300</v>
      </c>
      <c r="AC33" s="6">
        <v>0.06</v>
      </c>
      <c r="AD33" s="7">
        <v>23000.6</v>
      </c>
      <c r="AE33" s="7" t="s">
        <v>37</v>
      </c>
      <c r="AF33" s="7">
        <v>23000.6</v>
      </c>
      <c r="AG33" s="7">
        <v>22998</v>
      </c>
      <c r="AH33" s="6">
        <v>2.6</v>
      </c>
      <c r="AI33" s="7">
        <v>17025.75</v>
      </c>
      <c r="AJ33" s="7">
        <v>0.75</v>
      </c>
      <c r="AK33" s="7">
        <v>17025</v>
      </c>
      <c r="AL33" s="7">
        <v>17025</v>
      </c>
      <c r="AM33" s="6">
        <v>0.75</v>
      </c>
    </row>
    <row r="34" spans="1:40" x14ac:dyDescent="0.2">
      <c r="B34" s="12"/>
      <c r="C34" s="13"/>
      <c r="D34" s="13"/>
      <c r="E34" s="12"/>
      <c r="F34" s="18"/>
      <c r="G34" s="18">
        <v>460012</v>
      </c>
      <c r="H34" s="18"/>
      <c r="I34" s="18">
        <v>460012</v>
      </c>
      <c r="J34" s="14">
        <f>J$1*$G34</f>
        <v>276007.2</v>
      </c>
      <c r="K34" s="14">
        <f>K$1*$H34</f>
        <v>0</v>
      </c>
      <c r="L34" s="14">
        <f>L$1*$I34</f>
        <v>276007.2</v>
      </c>
      <c r="M34" s="14"/>
      <c r="N34" s="18"/>
      <c r="O34" s="14">
        <f>O$1*$G34</f>
        <v>69001.8</v>
      </c>
      <c r="P34" s="14">
        <f>P$1*$H34</f>
        <v>0</v>
      </c>
      <c r="Q34" s="14">
        <f>Q$1*$I34</f>
        <v>69001.8</v>
      </c>
      <c r="R34" s="14"/>
      <c r="S34" s="18"/>
      <c r="T34" s="14">
        <f>T$1*$G34</f>
        <v>13800.359999999999</v>
      </c>
      <c r="U34" s="14">
        <f>U$1*$H34</f>
        <v>0</v>
      </c>
      <c r="V34" s="14">
        <f>V$1*$I34</f>
        <v>13800.359999999999</v>
      </c>
      <c r="W34" s="14"/>
      <c r="X34" s="18"/>
      <c r="Y34" s="14">
        <f>Y$1*$G34</f>
        <v>2300.06</v>
      </c>
      <c r="Z34" s="14">
        <f>Z$1*$H34</f>
        <v>0</v>
      </c>
      <c r="AA34" s="14">
        <f>AA$1*$I34</f>
        <v>2300.06</v>
      </c>
      <c r="AB34" s="14"/>
      <c r="AC34" s="18"/>
      <c r="AD34" s="14">
        <f>AD$1*$G34</f>
        <v>23000.600000000002</v>
      </c>
      <c r="AE34" s="14">
        <f>AE$1*$H34</f>
        <v>0</v>
      </c>
      <c r="AF34" s="14">
        <f>AF$1*$I34</f>
        <v>23000.600000000002</v>
      </c>
      <c r="AG34" s="14"/>
      <c r="AH34" s="18"/>
      <c r="AI34" s="14"/>
      <c r="AJ34" s="14"/>
      <c r="AK34" s="14"/>
      <c r="AL34" s="14"/>
      <c r="AM34" s="14"/>
      <c r="AN34" s="15"/>
    </row>
    <row r="35" spans="1:40" x14ac:dyDescent="0.2">
      <c r="A35" s="20">
        <f>A33+1</f>
        <v>17</v>
      </c>
      <c r="B35" s="3">
        <v>310834746</v>
      </c>
      <c r="C35" s="4" t="d">
        <v>2020-02-10</v>
      </c>
      <c r="D35" s="4" t="d">
        <v>2021-02-28</v>
      </c>
      <c r="E35" s="3" t="s">
        <v>43</v>
      </c>
      <c r="F35" s="6">
        <v>254887</v>
      </c>
      <c r="G35" s="6"/>
      <c r="H35" s="6"/>
      <c r="I35" s="6"/>
      <c r="J35" s="7">
        <v>804753.78</v>
      </c>
      <c r="K35" s="7">
        <v>102867.78</v>
      </c>
      <c r="L35" s="7">
        <v>701886</v>
      </c>
      <c r="M35" s="7">
        <v>17000</v>
      </c>
      <c r="N35" s="6">
        <v>787753.78</v>
      </c>
      <c r="O35" s="7">
        <v>201188.45</v>
      </c>
      <c r="P35" s="7">
        <v>25717.45</v>
      </c>
      <c r="Q35" s="7">
        <v>175471</v>
      </c>
      <c r="R35" s="7">
        <v>175471</v>
      </c>
      <c r="S35" s="6">
        <v>25717.45</v>
      </c>
      <c r="T35" s="7">
        <v>40237.69</v>
      </c>
      <c r="U35" s="7">
        <v>5143.6899999999996</v>
      </c>
      <c r="V35" s="7">
        <v>35094</v>
      </c>
      <c r="W35" s="7" t="s">
        <v>37</v>
      </c>
      <c r="X35" s="6">
        <v>40237.69</v>
      </c>
      <c r="Y35" s="7">
        <v>6706.28</v>
      </c>
      <c r="Z35" s="7">
        <v>857.28</v>
      </c>
      <c r="AA35" s="7">
        <v>5849</v>
      </c>
      <c r="AB35" s="7">
        <v>5135</v>
      </c>
      <c r="AC35" s="6">
        <v>1571.28</v>
      </c>
      <c r="AD35" s="7">
        <v>67062.820000000007</v>
      </c>
      <c r="AE35" s="7">
        <v>8572.82</v>
      </c>
      <c r="AF35" s="7">
        <v>58490</v>
      </c>
      <c r="AG35" s="7">
        <v>58490</v>
      </c>
      <c r="AH35" s="6">
        <v>8572.82</v>
      </c>
      <c r="AI35" s="7">
        <v>86737.35</v>
      </c>
      <c r="AJ35" s="7">
        <v>11745.35</v>
      </c>
      <c r="AK35" s="7">
        <v>74992</v>
      </c>
      <c r="AL35" s="7">
        <v>92290</v>
      </c>
      <c r="AM35" s="6" t="s">
        <v>37</v>
      </c>
    </row>
    <row r="36" spans="1:40" x14ac:dyDescent="0.2">
      <c r="B36" s="12"/>
      <c r="C36" s="13"/>
      <c r="D36" s="13"/>
      <c r="E36" s="12"/>
      <c r="F36" s="18"/>
      <c r="G36" s="18">
        <v>1341256</v>
      </c>
      <c r="H36" s="18">
        <f>G36-I36</f>
        <v>171446</v>
      </c>
      <c r="I36" s="18">
        <v>1169810</v>
      </c>
      <c r="J36" s="14">
        <f>J$1*$G36</f>
        <v>804753.6</v>
      </c>
      <c r="K36" s="14">
        <f>K$1*$H36</f>
        <v>102867.59999999999</v>
      </c>
      <c r="L36" s="14">
        <f>L$1*$I36</f>
        <v>701886</v>
      </c>
      <c r="M36" s="14"/>
      <c r="N36" s="18"/>
      <c r="O36" s="14">
        <f>O$1*$G36</f>
        <v>201188.4</v>
      </c>
      <c r="P36" s="14">
        <f>P$1*$H36</f>
        <v>25716.899999999998</v>
      </c>
      <c r="Q36" s="14">
        <f>Q$1*$I36</f>
        <v>175471.5</v>
      </c>
      <c r="R36" s="14"/>
      <c r="S36" s="18"/>
      <c r="T36" s="14">
        <f>T$1*$G36</f>
        <v>40237.68</v>
      </c>
      <c r="U36" s="14">
        <f>U$1*$H36</f>
        <v>5143.38</v>
      </c>
      <c r="V36" s="14">
        <f>V$1*$I36</f>
        <v>35094.299999999996</v>
      </c>
      <c r="W36" s="14"/>
      <c r="X36" s="18"/>
      <c r="Y36" s="14">
        <f>Y$1*$G36</f>
        <v>6706.28</v>
      </c>
      <c r="Z36" s="14">
        <f>Z$1*$H36</f>
        <v>857.23</v>
      </c>
      <c r="AA36" s="14">
        <f>AA$1*$I36</f>
        <v>5849.05</v>
      </c>
      <c r="AB36" s="14"/>
      <c r="AC36" s="18"/>
      <c r="AD36" s="14">
        <f>AD$1*$G36</f>
        <v>67062.8</v>
      </c>
      <c r="AE36" s="14">
        <f>AE$1*$H36</f>
        <v>8572.3000000000011</v>
      </c>
      <c r="AF36" s="14">
        <f>AF$1*$I36</f>
        <v>58490.5</v>
      </c>
      <c r="AG36" s="14"/>
      <c r="AH36" s="18"/>
      <c r="AI36" s="14"/>
      <c r="AJ36" s="14"/>
      <c r="AK36" s="14"/>
      <c r="AL36" s="14"/>
      <c r="AM36" s="14"/>
      <c r="AN36" s="15"/>
    </row>
    <row r="37" spans="1:40" x14ac:dyDescent="0.2">
      <c r="A37" s="20">
        <f>A35+1</f>
        <v>18</v>
      </c>
      <c r="B37" s="5">
        <v>310835522</v>
      </c>
      <c r="C37" s="11" t="d">
        <v>2020-03-19</v>
      </c>
      <c r="D37" s="11" t="d">
        <v>2021-03-31</v>
      </c>
      <c r="E37" s="5" t="s">
        <v>44</v>
      </c>
      <c r="F37" s="16">
        <v>8325895</v>
      </c>
      <c r="G37" s="16"/>
      <c r="H37" s="16"/>
      <c r="I37" s="16"/>
      <c r="J37" s="7">
        <v>9687159</v>
      </c>
      <c r="K37" s="7">
        <v>855783</v>
      </c>
      <c r="L37" s="7">
        <v>8831375</v>
      </c>
      <c r="M37" s="7" t="s">
        <v>37</v>
      </c>
      <c r="N37" s="6">
        <v>9687159</v>
      </c>
      <c r="O37" s="8">
        <v>1591673</v>
      </c>
      <c r="P37" s="9">
        <v>142630</v>
      </c>
      <c r="Q37" s="9">
        <v>1471895</v>
      </c>
      <c r="R37" s="7">
        <v>991660</v>
      </c>
      <c r="S37" s="6">
        <f>O37-R37</f>
        <v>600013</v>
      </c>
      <c r="T37" s="7">
        <v>484358</v>
      </c>
      <c r="U37" s="7">
        <v>42789</v>
      </c>
      <c r="V37" s="7">
        <v>441568</v>
      </c>
      <c r="W37" s="7" t="s">
        <v>37</v>
      </c>
      <c r="X37" s="6">
        <f>T37</f>
        <v>484358</v>
      </c>
      <c r="Y37" s="7">
        <v>80726.320000000007</v>
      </c>
      <c r="Z37" s="7">
        <v>7131</v>
      </c>
      <c r="AA37" s="7">
        <v>73594</v>
      </c>
      <c r="AB37" s="7" t="s">
        <v>37</v>
      </c>
      <c r="AC37" s="6">
        <v>80726.320000000007</v>
      </c>
      <c r="AD37" s="7">
        <v>807263.3</v>
      </c>
      <c r="AE37" s="7">
        <v>71315</v>
      </c>
      <c r="AF37" s="7">
        <v>735947</v>
      </c>
      <c r="AG37" s="7">
        <v>342957</v>
      </c>
      <c r="AH37" s="6">
        <f>AD37-AG37</f>
        <v>464306.30000000005</v>
      </c>
      <c r="AI37" s="7">
        <v>662292.80000000005</v>
      </c>
      <c r="AJ37" s="7">
        <v>129140</v>
      </c>
      <c r="AK37" s="7">
        <v>533151</v>
      </c>
      <c r="AL37" s="7" t="s">
        <v>37</v>
      </c>
      <c r="AM37" s="6">
        <v>662292.80000000005</v>
      </c>
    </row>
    <row r="38" spans="1:40" x14ac:dyDescent="0.2">
      <c r="B38" s="12"/>
      <c r="C38" s="13"/>
      <c r="D38" s="13"/>
      <c r="E38" s="12"/>
      <c r="F38" s="18"/>
      <c r="G38" s="18">
        <v>16145265</v>
      </c>
      <c r="H38" s="18">
        <f>G38-I38</f>
        <v>1426307</v>
      </c>
      <c r="I38" s="18">
        <v>14718958</v>
      </c>
      <c r="J38" s="14">
        <f>J$1*$G38</f>
        <v>9687159</v>
      </c>
      <c r="K38" s="14">
        <f>K$1*$H38</f>
        <v>855784.2</v>
      </c>
      <c r="L38" s="14">
        <f>L$1*$I38</f>
        <v>8831374.7999999989</v>
      </c>
      <c r="M38" s="14"/>
      <c r="N38" s="18"/>
      <c r="O38" s="14">
        <f>0.1*$G38</f>
        <v>1614526.5</v>
      </c>
      <c r="P38" s="14">
        <f>0.1*$G38</f>
        <v>1614526.5</v>
      </c>
      <c r="Q38" s="14">
        <f>Q$1*$I38</f>
        <v>2207843.6999999997</v>
      </c>
      <c r="R38" s="14"/>
      <c r="S38" s="18"/>
      <c r="T38" s="14">
        <f>T$1*$G38</f>
        <v>484357.94999999995</v>
      </c>
      <c r="U38" s="14">
        <f>U$1*$H38</f>
        <v>42789.21</v>
      </c>
      <c r="V38" s="14">
        <f>V$1*$I38</f>
        <v>441568.74</v>
      </c>
      <c r="W38" s="14"/>
      <c r="X38" s="18"/>
      <c r="Y38" s="14">
        <f>Y$1*$G38</f>
        <v>80726.324999999997</v>
      </c>
      <c r="Z38" s="14">
        <f>Z$1*$H38</f>
        <v>7131.5349999999999</v>
      </c>
      <c r="AA38" s="14">
        <f>AA$1*$I38</f>
        <v>73594.790000000008</v>
      </c>
      <c r="AB38" s="14"/>
      <c r="AC38" s="18"/>
      <c r="AD38" s="14">
        <f>AD$1*$G38</f>
        <v>807263.25</v>
      </c>
      <c r="AE38" s="14">
        <f>AE$1*$H38</f>
        <v>71315.350000000006</v>
      </c>
      <c r="AF38" s="14">
        <f>AF$1*$I38</f>
        <v>735947.9</v>
      </c>
      <c r="AG38" s="14"/>
      <c r="AH38" s="18"/>
      <c r="AI38" s="14"/>
      <c r="AJ38" s="14"/>
      <c r="AK38" s="14"/>
      <c r="AL38" s="14"/>
      <c r="AM38" s="14"/>
      <c r="AN38" s="15"/>
    </row>
    <row r="39" spans="1:40" x14ac:dyDescent="0.2">
      <c r="A39" s="20">
        <f>A37+1</f>
        <v>19</v>
      </c>
      <c r="B39" s="3">
        <v>310837138</v>
      </c>
      <c r="C39" s="4" t="d">
        <v>2020-07-10</v>
      </c>
      <c r="D39" s="4" t="d">
        <v>2021-07-31</v>
      </c>
      <c r="E39" s="3" t="s">
        <v>45</v>
      </c>
      <c r="F39" s="6">
        <v>707825</v>
      </c>
      <c r="G39" s="6"/>
      <c r="H39" s="6"/>
      <c r="I39" s="6"/>
      <c r="J39" s="7">
        <v>678165</v>
      </c>
      <c r="K39" s="7">
        <v>181872</v>
      </c>
      <c r="L39" s="7">
        <v>496293</v>
      </c>
      <c r="M39" s="7">
        <v>7800</v>
      </c>
      <c r="N39" s="6">
        <v>670365</v>
      </c>
      <c r="O39" s="7" t="s">
        <v>37</v>
      </c>
      <c r="P39" s="7" t="s">
        <v>37</v>
      </c>
      <c r="Q39" s="7" t="s">
        <v>37</v>
      </c>
      <c r="R39" s="7" t="s">
        <v>37</v>
      </c>
      <c r="S39" s="6" t="s">
        <v>37</v>
      </c>
      <c r="T39" s="7">
        <v>33908.25</v>
      </c>
      <c r="U39" s="7">
        <v>9094.25</v>
      </c>
      <c r="V39" s="7">
        <v>24814</v>
      </c>
      <c r="W39" s="7" t="s">
        <v>37</v>
      </c>
      <c r="X39" s="6">
        <v>33908.25</v>
      </c>
      <c r="Y39" s="7">
        <v>3843.5</v>
      </c>
      <c r="Z39" s="7">
        <v>3843.5</v>
      </c>
      <c r="AA39" s="7" t="s">
        <v>37</v>
      </c>
      <c r="AB39" s="7" t="s">
        <v>37</v>
      </c>
      <c r="AC39" s="6">
        <v>3843.5</v>
      </c>
      <c r="AD39" s="7">
        <v>56513.75</v>
      </c>
      <c r="AE39" s="7">
        <v>15156</v>
      </c>
      <c r="AF39" s="7">
        <v>41357.75</v>
      </c>
      <c r="AG39" s="7">
        <v>41356</v>
      </c>
      <c r="AH39" s="6">
        <v>15157.75</v>
      </c>
      <c r="AI39" s="7" t="s">
        <v>37</v>
      </c>
      <c r="AJ39" s="7" t="s">
        <v>37</v>
      </c>
      <c r="AK39" s="7" t="s">
        <v>37</v>
      </c>
      <c r="AL39" s="7" t="s">
        <v>37</v>
      </c>
      <c r="AM39" s="6" t="s">
        <v>37</v>
      </c>
    </row>
    <row r="40" spans="1:40" x14ac:dyDescent="0.2">
      <c r="B40" s="12"/>
      <c r="C40" s="13"/>
      <c r="D40" s="13"/>
      <c r="E40" s="12"/>
      <c r="F40" s="18"/>
      <c r="G40" s="18">
        <v>1130275</v>
      </c>
      <c r="H40" s="18">
        <f>G40-I40</f>
        <v>303120</v>
      </c>
      <c r="I40" s="18">
        <v>827155</v>
      </c>
      <c r="J40" s="14">
        <f>J$1*$G40</f>
        <v>678165</v>
      </c>
      <c r="K40" s="14">
        <f>K$1*$H40</f>
        <v>181872</v>
      </c>
      <c r="L40" s="14">
        <f>L$1*$I40</f>
        <v>496293</v>
      </c>
      <c r="M40" s="14"/>
      <c r="N40" s="18"/>
      <c r="O40" s="14">
        <f>O$1*$G40</f>
        <v>169541.25</v>
      </c>
      <c r="P40" s="14">
        <f>P$1*$H40</f>
        <v>45468</v>
      </c>
      <c r="Q40" s="14">
        <f>Q$1*$I40</f>
        <v>124073.25</v>
      </c>
      <c r="R40" s="14"/>
      <c r="S40" s="18"/>
      <c r="T40" s="14">
        <f>T$1*$G40</f>
        <v>33908.25</v>
      </c>
      <c r="U40" s="14">
        <f>U$1*$H40</f>
        <v>9093.6</v>
      </c>
      <c r="V40" s="14">
        <f>V$1*$I40</f>
        <v>24814.649999999998</v>
      </c>
      <c r="W40" s="14"/>
      <c r="X40" s="18"/>
      <c r="Y40" s="14">
        <f>Y$1*$G40</f>
        <v>5651.375</v>
      </c>
      <c r="Z40" s="14">
        <f>Z$1*$H40</f>
        <v>1515.6000000000001</v>
      </c>
      <c r="AA40" s="14">
        <f>AA$1*$I40</f>
        <v>4135.7749999999996</v>
      </c>
      <c r="AB40" s="14"/>
      <c r="AC40" s="18"/>
      <c r="AD40" s="14">
        <f>AD$1*$G40</f>
        <v>56513.75</v>
      </c>
      <c r="AE40" s="14">
        <f>AE$1*$H40</f>
        <v>15156</v>
      </c>
      <c r="AF40" s="14">
        <f>AF$1*$I40</f>
        <v>41357.75</v>
      </c>
      <c r="AG40" s="14"/>
      <c r="AH40" s="18"/>
      <c r="AI40" s="14"/>
      <c r="AJ40" s="14"/>
      <c r="AK40" s="14"/>
      <c r="AL40" s="14"/>
      <c r="AM40" s="14"/>
      <c r="AN40" s="15"/>
    </row>
    <row r="41" spans="1:40" x14ac:dyDescent="0.2">
      <c r="B41" s="3"/>
      <c r="C41" s="3"/>
      <c r="D41" s="3"/>
      <c r="E41" s="3"/>
      <c r="F41" s="6">
        <v>14984648</v>
      </c>
      <c r="G41" s="6"/>
      <c r="H41" s="6"/>
      <c r="I41" s="6"/>
      <c r="J41" s="7"/>
      <c r="K41" s="7"/>
      <c r="L41" s="7"/>
      <c r="M41" s="7"/>
      <c r="N41" s="6">
        <f>SUM(N3:N39)</f>
        <v>13673118.289999999</v>
      </c>
      <c r="O41" s="7"/>
      <c r="P41" s="7"/>
      <c r="Q41" s="7"/>
      <c r="R41" s="7"/>
      <c r="S41" s="6">
        <f>SUM(S3:S39)</f>
        <v>1834517.9999999998</v>
      </c>
      <c r="T41" s="7"/>
      <c r="U41" s="7"/>
      <c r="V41" s="7"/>
      <c r="W41" s="7"/>
      <c r="X41" s="6">
        <f>SUM(X3:X39)</f>
        <v>1046372.3300000001</v>
      </c>
      <c r="Y41" s="7"/>
      <c r="Z41" s="7"/>
      <c r="AA41" s="7"/>
      <c r="AB41" s="7"/>
      <c r="AC41" s="6">
        <f>SUM(AC3:AC39)</f>
        <v>120834.68</v>
      </c>
      <c r="AD41" s="7"/>
      <c r="AE41" s="7"/>
      <c r="AF41" s="7"/>
      <c r="AG41" s="7"/>
      <c r="AH41" s="6">
        <f>SUM(AH3:AH39)</f>
        <v>870778.24</v>
      </c>
      <c r="AI41" s="7"/>
      <c r="AJ41" s="7"/>
      <c r="AK41" s="7"/>
      <c r="AL41" s="7"/>
      <c r="AM41" s="6">
        <f>SUM(AM3:AM39)</f>
        <v>730217.94000000006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confectionery_conversion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2020-11-20T19:03:05Z</dcterms:created>
  <dcterms:modified xsi:type="dcterms:W3CDTF">2020-11-21T04:05:20Z</dcterms:modified>
</cp:coreProperties>
</file>