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440583FC-2DBE-CA4F-8068-0392768AB871}" xr6:coauthVersionLast="47" xr6:coauthVersionMax="47" xr10:uidLastSave="{00000000-0000-0000-0000-000000000000}"/>
  <bookViews>
    <workbookView xWindow="1100" yWindow="820" windowWidth="28040" windowHeight="17380" xr2:uid="{ED215F23-B0E4-9940-9EB7-08813901F7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6" i="1"/>
  <c r="F14" i="1"/>
  <c r="E14" i="1"/>
  <c r="G1" i="1"/>
  <c r="G7" i="1"/>
  <c r="F7" i="1" s="1"/>
  <c r="A8" i="1"/>
  <c r="A9" i="1" s="1"/>
  <c r="C7" i="1"/>
  <c r="E7" i="1" s="1"/>
  <c r="C6" i="1"/>
  <c r="E6" i="1" s="1"/>
  <c r="C5" i="1"/>
  <c r="E5" i="1" s="1"/>
  <c r="C4" i="1"/>
  <c r="E4" i="1" s="1"/>
  <c r="C3" i="1"/>
  <c r="E3" i="1" s="1"/>
  <c r="C2" i="1"/>
  <c r="E2" i="1" s="1"/>
  <c r="C1" i="1"/>
  <c r="E1" i="1" s="1"/>
  <c r="D8" i="1" l="1"/>
  <c r="C9" i="1"/>
  <c r="E8" i="1" l="1"/>
  <c r="D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404040"/>
      <name val="Times New Roman"/>
      <family val="1"/>
    </font>
    <font>
      <b/>
      <sz val="14"/>
      <color rgb="FF333333"/>
      <name val="Microsoft YaHei"/>
      <family val="2"/>
      <charset val="134"/>
    </font>
    <font>
      <b/>
      <sz val="16"/>
      <color rgb="FF1E23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43" fontId="3" fillId="0" borderId="1" xfId="1" applyFont="1" applyBorder="1"/>
    <xf numFmtId="43" fontId="4" fillId="0" borderId="1" xfId="1" applyFont="1" applyBorder="1"/>
    <xf numFmtId="43" fontId="0" fillId="0" borderId="0" xfId="0" applyNumberFormat="1"/>
    <xf numFmtId="43" fontId="3" fillId="0" borderId="2" xfId="1" applyFont="1" applyFill="1" applyBorder="1"/>
    <xf numFmtId="43" fontId="2" fillId="0" borderId="1" xfId="0" applyNumberFormat="1" applyFont="1" applyBorder="1"/>
    <xf numFmtId="0" fontId="0" fillId="0" borderId="1" xfId="0" applyBorder="1"/>
    <xf numFmtId="0" fontId="2" fillId="0" borderId="0" xfId="0" applyFont="1"/>
    <xf numFmtId="4" fontId="2" fillId="0" borderId="0" xfId="0" applyNumberFormat="1" applyFont="1"/>
    <xf numFmtId="0" fontId="5" fillId="0" borderId="0" xfId="0" applyFont="1"/>
    <xf numFmtId="4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AC50-51AF-DA46-94B9-0E4E89884A4A}">
  <dimension ref="A1:G18"/>
  <sheetViews>
    <sheetView tabSelected="1" workbookViewId="0">
      <selection activeCell="D19" sqref="D19"/>
    </sheetView>
  </sheetViews>
  <sheetFormatPr baseColWidth="10" defaultRowHeight="16" x14ac:dyDescent="0.2"/>
  <cols>
    <col min="1" max="1" width="15.5" bestFit="1" customWidth="1"/>
    <col min="2" max="2" width="7" bestFit="1" customWidth="1"/>
    <col min="3" max="3" width="11.83203125" bestFit="1" customWidth="1"/>
    <col min="4" max="4" width="12" bestFit="1" customWidth="1"/>
    <col min="5" max="5" width="8" bestFit="1" customWidth="1"/>
  </cols>
  <sheetData>
    <row r="1" spans="1:7" x14ac:dyDescent="0.2">
      <c r="A1" s="2">
        <v>49999</v>
      </c>
      <c r="B1" s="2">
        <v>79.55</v>
      </c>
      <c r="C1" s="2">
        <f>ROUNDUP(A1/B1,2)</f>
        <v>628.53</v>
      </c>
      <c r="D1" s="3">
        <v>50883.98</v>
      </c>
      <c r="E1" s="2">
        <f>ROUNDUP(D1/C1,2)+0.2+0.2</f>
        <v>81.360000000000014</v>
      </c>
      <c r="F1" s="5">
        <v>79.55</v>
      </c>
      <c r="G1" s="4">
        <f>F1*1.016</f>
        <v>80.822800000000001</v>
      </c>
    </row>
    <row r="2" spans="1:7" x14ac:dyDescent="0.2">
      <c r="A2" s="2">
        <v>49999</v>
      </c>
      <c r="B2" s="2">
        <v>79.55</v>
      </c>
      <c r="C2" s="2">
        <f>ROUNDUP(A2/B2,2)</f>
        <v>628.53</v>
      </c>
      <c r="D2" s="3">
        <v>50883.98</v>
      </c>
      <c r="E2" s="2">
        <f>ROUNDUP(D2/C2,2)+0.2+0.2</f>
        <v>81.360000000000014</v>
      </c>
    </row>
    <row r="3" spans="1:7" x14ac:dyDescent="0.2">
      <c r="A3" s="2">
        <v>49999</v>
      </c>
      <c r="B3" s="2">
        <v>79.55</v>
      </c>
      <c r="C3" s="2">
        <f>ROUNDUP(A3/B3,2)</f>
        <v>628.53</v>
      </c>
      <c r="D3" s="3">
        <v>50883.98</v>
      </c>
      <c r="E3" s="2">
        <f>ROUNDUP(D3/C3,2)+0.2+0.2</f>
        <v>81.360000000000014</v>
      </c>
    </row>
    <row r="4" spans="1:7" x14ac:dyDescent="0.2">
      <c r="A4" s="2">
        <v>49999</v>
      </c>
      <c r="B4" s="2">
        <v>79.55</v>
      </c>
      <c r="C4" s="2">
        <f>ROUNDUP(A4/B4,2)</f>
        <v>628.53</v>
      </c>
      <c r="D4" s="3">
        <v>50883.98</v>
      </c>
      <c r="E4" s="2">
        <f>ROUNDUP(D4/C4,2)+0.2+0.2</f>
        <v>81.360000000000014</v>
      </c>
    </row>
    <row r="5" spans="1:7" x14ac:dyDescent="0.2">
      <c r="A5" s="2">
        <v>49999</v>
      </c>
      <c r="B5" s="2">
        <v>79.55</v>
      </c>
      <c r="C5" s="2">
        <f>ROUNDUP(A5/B5,2)</f>
        <v>628.53</v>
      </c>
      <c r="D5" s="3">
        <v>50883.98</v>
      </c>
      <c r="E5" s="2">
        <f>ROUNDUP(D5/C5,2)+0.2+0.2</f>
        <v>81.360000000000014</v>
      </c>
    </row>
    <row r="6" spans="1:7" x14ac:dyDescent="0.2">
      <c r="A6" s="2">
        <v>49999</v>
      </c>
      <c r="B6" s="2">
        <v>79.55</v>
      </c>
      <c r="C6" s="2">
        <f>ROUNDUP(A6/B6,2)</f>
        <v>628.53</v>
      </c>
      <c r="D6" s="3">
        <v>50883.98</v>
      </c>
      <c r="E6" s="2">
        <f>ROUNDUP(D6/C6,2)+0.2+0.2</f>
        <v>81.360000000000014</v>
      </c>
    </row>
    <row r="7" spans="1:7" x14ac:dyDescent="0.2">
      <c r="A7" s="2">
        <v>49999</v>
      </c>
      <c r="B7" s="2">
        <v>79.55</v>
      </c>
      <c r="C7" s="2">
        <f>ROUNDUP(A7/B7,2)</f>
        <v>628.53</v>
      </c>
      <c r="D7" s="3">
        <v>50883.98</v>
      </c>
      <c r="E7" s="2">
        <f>ROUNDUP(D7/C7,2)+0.2+0.2</f>
        <v>81.360000000000014</v>
      </c>
      <c r="F7">
        <f>G7/A7*100</f>
        <v>1.7699953999080045</v>
      </c>
      <c r="G7" s="4">
        <f>D7-A7</f>
        <v>884.9800000000032</v>
      </c>
    </row>
    <row r="8" spans="1:7" x14ac:dyDescent="0.2">
      <c r="A8" s="2">
        <f>B8*C8</f>
        <v>39775</v>
      </c>
      <c r="B8" s="2">
        <v>79.55</v>
      </c>
      <c r="C8" s="2">
        <v>500</v>
      </c>
      <c r="D8" s="3">
        <f>A8*(1+F7/100)</f>
        <v>40479.015670313413</v>
      </c>
      <c r="E8" s="2">
        <f>ROUNDUP(D8/C8,2)+0.2+0.2</f>
        <v>81.360000000000014</v>
      </c>
    </row>
    <row r="9" spans="1:7" x14ac:dyDescent="0.2">
      <c r="A9" s="6">
        <f>SUM(A1:A8)</f>
        <v>389768</v>
      </c>
      <c r="B9" s="7"/>
      <c r="C9" s="6">
        <f>SUM(C1:C8)</f>
        <v>4899.7099999999991</v>
      </c>
      <c r="D9" s="6">
        <f>SUM(D1:D8)</f>
        <v>396666.87567031337</v>
      </c>
      <c r="E9" s="7"/>
      <c r="F9" s="4"/>
    </row>
    <row r="11" spans="1:7" x14ac:dyDescent="0.2">
      <c r="C11">
        <v>1391.11</v>
      </c>
    </row>
    <row r="12" spans="1:7" x14ac:dyDescent="0.2">
      <c r="C12">
        <v>3636.4004</v>
      </c>
    </row>
    <row r="14" spans="1:7" ht="22" x14ac:dyDescent="0.3">
      <c r="C14" s="11">
        <v>1494.2700007200001</v>
      </c>
      <c r="D14" s="10">
        <v>4032.4947999999999</v>
      </c>
      <c r="E14" s="9">
        <f>D14+C14</f>
        <v>5526.7648007200005</v>
      </c>
      <c r="F14" s="8">
        <f>E14*81.3</f>
        <v>449325.97829853604</v>
      </c>
    </row>
    <row r="16" spans="1:7" x14ac:dyDescent="0.2">
      <c r="D16" s="1">
        <f>5525.76*81.3</f>
        <v>449244.288</v>
      </c>
    </row>
    <row r="17" spans="4:4" x14ac:dyDescent="0.2">
      <c r="D17">
        <v>256600</v>
      </c>
    </row>
    <row r="18" spans="4:4" x14ac:dyDescent="0.2">
      <c r="D18" s="4">
        <f>D17+D16</f>
        <v>705844.28799999994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2022-01-02T14:35:58Z</dcterms:created>
  <dcterms:modified xsi:type="dcterms:W3CDTF">2022-01-02T16:44:09Z</dcterms:modified>
</cp:coreProperties>
</file>