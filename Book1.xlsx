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eamchaser/Developer/lmanagement/"/>
    </mc:Choice>
  </mc:AlternateContent>
  <xr:revisionPtr revIDLastSave="0" documentId="13_ncr:1_{8B595D57-1A4E-954C-8257-A32D218C3205}" xr6:coauthVersionLast="47" xr6:coauthVersionMax="47" xr10:uidLastSave="{00000000-0000-0000-0000-000000000000}"/>
  <bookViews>
    <workbookView xWindow="1500" yWindow="1320" windowWidth="27640" windowHeight="16940" xr2:uid="{B0A930B0-6849-D844-9D4D-5271356CE6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I15" i="1"/>
  <c r="L17" i="1"/>
  <c r="I17" i="1"/>
  <c r="I12" i="1"/>
  <c r="L12" i="1"/>
  <c r="K4" i="1"/>
  <c r="J4" i="1"/>
  <c r="H4" i="1"/>
  <c r="I3" i="1"/>
  <c r="I2" i="1"/>
  <c r="C36" i="1"/>
  <c r="C35" i="1"/>
  <c r="A37" i="1"/>
  <c r="B37" i="1"/>
  <c r="D37" i="1"/>
  <c r="E37" i="1"/>
  <c r="B30" i="1"/>
  <c r="A29" i="1"/>
  <c r="E29" i="1"/>
  <c r="A26" i="1"/>
  <c r="B26" i="1"/>
  <c r="C26" i="1"/>
  <c r="E18" i="1"/>
  <c r="E10" i="1"/>
  <c r="D10" i="1"/>
  <c r="D9" i="1"/>
  <c r="B9" i="1"/>
  <c r="C9" i="1"/>
  <c r="D3" i="1"/>
  <c r="A3" i="1"/>
  <c r="B3" i="1"/>
  <c r="C3" i="1"/>
</calcChain>
</file>

<file path=xl/sharedStrings.xml><?xml version="1.0" encoding="utf-8"?>
<sst xmlns="http://schemas.openxmlformats.org/spreadsheetml/2006/main" count="16" uniqueCount="9">
  <si>
    <t xml:space="preserve">DFIA </t>
  </si>
  <si>
    <t>Qty</t>
  </si>
  <si>
    <t>Unit Price</t>
  </si>
  <si>
    <t>CIF $</t>
  </si>
  <si>
    <t>CIF INR</t>
  </si>
  <si>
    <t>0310683023</t>
  </si>
  <si>
    <t>0310665248</t>
  </si>
  <si>
    <t>Bill Amount</t>
  </si>
  <si>
    <t>Exc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</si>
</sst>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93" formatCode="_(* #,##0.000000000000_);_(* \(#,##0.000000000000\);_(* &quot;-&quot;??_);_(@_)"/>
    <numFmt numFmtId="194" formatCode="_(* #,##0.0000000000000_);_(* \(#,##0.0000000000000\);_(* &quot;-&quot;??_);_(@_)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D14B4B"/>
      <name val="Microsoft YaHei"/>
      <family val="2"/>
      <charset val="134"/>
    </font>
    <font>
      <sz val="12"/>
      <color rgb="FFBBBBBB"/>
      <name val="Microsoft YaHei"/>
      <family val="2"/>
      <charset val="134"/>
    </font>
    <font>
      <sz val="14"/>
      <color rgb="FF333333"/>
      <name val="Microsoft YaHei"/>
      <family val="2"/>
      <charset val="134"/>
    </font>
    <font>
      <sz val="20"/>
      <color rgb="FFD14B4B"/>
      <name val="Microsoft YaHei"/>
      <family val="2"/>
      <charset val="134"/>
    </font>
    <font>
      <sz val="12"/>
      <color rgb="FFBBBBBB"/>
      <name val="Microsoft YaHei"/>
      <family val="2"/>
      <charset val="134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43" fontId="0" fillId="0" borderId="0" xfId="0" applyNumberFormat="1"/>
    <xf numFmtId="43" fontId="0" fillId="0" borderId="0" xfId="1" applyFont="1"/>
    <xf numFmtId="194" fontId="2" fillId="0" borderId="0" xfId="1" applyNumberFormat="1" applyFont="1"/>
    <xf numFmtId="194" fontId="2" fillId="0" borderId="0" xfId="0" applyNumberFormat="1" applyFont="1"/>
    <xf numFmtId="194" fontId="0" fillId="0" borderId="0" xfId="1" applyNumberFormat="1" applyFont="1"/>
    <xf numFmtId="194" fontId="3" fillId="0" borderId="0" xfId="1" applyNumberFormat="1" applyFont="1"/>
    <xf numFmtId="194" fontId="3" fillId="0" borderId="0" xfId="0" applyNumberFormat="1" applyFont="1"/>
    <xf numFmtId="193" fontId="0" fillId="0" borderId="0" xfId="1" applyNumberFormat="1" applyFont="1"/>
    <xf numFmtId="0" fontId="4" fillId="0" borderId="0" xfId="0" applyFont="1"/>
    <xf numFmtId="193" fontId="5" fillId="0" borderId="0" xfId="1" applyNumberFormat="1" applyFont="1"/>
    <xf numFmtId="0" fontId="6" fillId="0" borderId="0" xfId="0" applyFont="1"/>
    <xf numFmtId="0" fontId="7" fillId="0" borderId="0" xfId="0" applyFont="1"/>
    <xf numFmtId="43" fontId="7" fillId="0" borderId="0" xfId="1" applyFont="1"/>
    <xf numFmtId="0" fontId="8" fillId="0" borderId="0" xfId="0" applyFont="1"/>
    <xf numFmtId="0" fontId="7" fillId="0" borderId="1" xfId="0" applyFont="1" applyBorder="1"/>
    <xf numFmtId="43" fontId="7" fillId="0" borderId="1" xfId="1" applyFont="1" applyBorder="1"/>
    <xf numFmtId="0" fontId="7" fillId="0" borderId="1" xfId="0" quotePrefix="1" applyFont="1" applyBorder="1"/>
    <xf numFmtId="0" fontId="8" fillId="0" borderId="1" xfId="0" applyFont="1" applyBorder="1"/>
    <xf numFmtId="43" fontId="8" fillId="0" borderId="1" xfId="1" applyFont="1" applyBorder="1"/>
    <xf numFmtId="9" fontId="7" fillId="0" borderId="1" xfId="2" applyFont="1" applyBorder="1"/>
    <xf numFmtId="9" fontId="8" fillId="0" borderId="1" xfId="2" applyFont="1" applyBorder="1"/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FEF6-94BB-5847-BFD1-19EBB178F02D}">
  <sheetPr>
    <pageSetUpPr fitToPage="1"/>
  </sheetPr>
  <dimension ref="A1:L37"/>
  <sheetViews>
    <sheetView tabSelected="1" workbookViewId="0">
      <selection activeCell="G11" sqref="G11:L17"/>
    </sheetView>
  </sheetViews>
  <sheetFormatPr baseColWidth="10" defaultRowHeight="16" x14ac:dyDescent="0.2"/>
  <cols>
    <col min="1" max="1" width="19.5" bestFit="1" customWidth="1"/>
    <col min="2" max="2" width="33.6640625" bestFit="1" customWidth="1"/>
    <col min="3" max="3" width="23.6640625" style="4" bestFit="1" customWidth="1"/>
    <col min="4" max="4" width="16" bestFit="1" customWidth="1"/>
    <col min="5" max="5" width="19.6640625" bestFit="1" customWidth="1"/>
    <col min="6" max="6" width="12" bestFit="1" customWidth="1"/>
    <col min="7" max="7" width="12.83203125" bestFit="1" customWidth="1"/>
    <col min="8" max="8" width="12.33203125" style="4" bestFit="1" customWidth="1"/>
    <col min="9" max="9" width="12.5" style="4" bestFit="1" customWidth="1"/>
    <col min="10" max="11" width="15.33203125" style="4" bestFit="1" customWidth="1"/>
    <col min="12" max="12" width="14.1640625" bestFit="1" customWidth="1"/>
  </cols>
  <sheetData>
    <row r="1" spans="1:12" ht="19" x14ac:dyDescent="0.25">
      <c r="A1" s="5">
        <v>6.2175399999999994E-8</v>
      </c>
      <c r="B1" s="8">
        <v>20140767858</v>
      </c>
      <c r="C1" s="8">
        <v>1252.26029787829</v>
      </c>
      <c r="G1" s="17" t="s">
        <v>0</v>
      </c>
      <c r="H1" s="18" t="s">
        <v>1</v>
      </c>
      <c r="I1" s="18" t="s">
        <v>2</v>
      </c>
      <c r="J1" s="18" t="s">
        <v>3</v>
      </c>
      <c r="K1" s="18" t="s">
        <v>4</v>
      </c>
    </row>
    <row r="2" spans="1:12" ht="19" x14ac:dyDescent="0.25">
      <c r="A2" s="6">
        <v>6.2447650000000005E-8</v>
      </c>
      <c r="B2" s="9">
        <v>16100000</v>
      </c>
      <c r="C2" s="8">
        <v>1.005407165</v>
      </c>
      <c r="G2" s="19" t="s">
        <v>5</v>
      </c>
      <c r="H2" s="18">
        <v>13000</v>
      </c>
      <c r="I2" s="18">
        <f>J2/H2</f>
        <v>7.3385692307692301</v>
      </c>
      <c r="J2" s="18">
        <v>95401.4</v>
      </c>
      <c r="K2" s="18">
        <v>7207575.96</v>
      </c>
    </row>
    <row r="3" spans="1:12" ht="18" x14ac:dyDescent="0.2">
      <c r="A3" s="7">
        <f>SUM(A1:A2)</f>
        <v>1.2462305000000001E-7</v>
      </c>
      <c r="B3" s="7">
        <f>SUM(B1:B2)</f>
        <v>20156867858</v>
      </c>
      <c r="C3" s="7">
        <f>SUM(C1:C2)</f>
        <v>1253.2657050432899</v>
      </c>
      <c r="D3" s="10">
        <f>C3/B3</f>
        <v>6.2175617455659654E-8</v>
      </c>
      <c r="G3" s="19" t="s">
        <v>6</v>
      </c>
      <c r="H3" s="18">
        <v>10920</v>
      </c>
      <c r="I3" s="18">
        <f>J3/H3</f>
        <v>2.3291978021978021</v>
      </c>
      <c r="J3" s="18">
        <v>25434.84</v>
      </c>
      <c r="K3" s="18">
        <v>1921602.42</v>
      </c>
    </row>
    <row r="4" spans="1:12" ht="19" x14ac:dyDescent="0.25">
      <c r="A4" s="9">
        <v>6.0281619999999995E-8</v>
      </c>
      <c r="B4" s="9">
        <v>1000000000</v>
      </c>
      <c r="C4" s="9">
        <v>60.281619999999997</v>
      </c>
      <c r="G4" s="20"/>
      <c r="H4" s="21">
        <f>SUM(H2:H3)</f>
        <v>23920</v>
      </c>
      <c r="I4" s="18"/>
      <c r="J4" s="21">
        <f>SUM(J2:J3)</f>
        <v>120836.23999999999</v>
      </c>
      <c r="K4" s="21">
        <f>SUM(K2:K3)</f>
        <v>9129178.379999999</v>
      </c>
    </row>
    <row r="5" spans="1:12" ht="18" x14ac:dyDescent="0.25">
      <c r="A5" s="9">
        <v>5.9334159999999999E-8</v>
      </c>
      <c r="B5" s="9">
        <v>5000000000</v>
      </c>
      <c r="C5" s="9">
        <v>296.67079999999999</v>
      </c>
    </row>
    <row r="6" spans="1:12" ht="18" x14ac:dyDescent="0.25">
      <c r="A6" s="9">
        <v>6.0010050000000002E-8</v>
      </c>
      <c r="B6" s="9">
        <v>5000000000</v>
      </c>
      <c r="C6" s="9">
        <v>300.05025000000001</v>
      </c>
    </row>
    <row r="7" spans="1:12" ht="18" x14ac:dyDescent="0.25">
      <c r="A7" s="9">
        <v>6.0224999999999998E-8</v>
      </c>
      <c r="B7" s="9">
        <v>5000000000</v>
      </c>
      <c r="C7" s="9">
        <v>301.125</v>
      </c>
    </row>
    <row r="8" spans="1:12" ht="18" x14ac:dyDescent="0.25">
      <c r="A8" s="9">
        <v>6.0001290000000002E-8</v>
      </c>
      <c r="B8" s="9">
        <v>5000000000</v>
      </c>
      <c r="C8" s="9">
        <v>300.00644999999997</v>
      </c>
    </row>
    <row r="9" spans="1:12" x14ac:dyDescent="0.2">
      <c r="B9" s="4">
        <f>SUM(B4:B8)</f>
        <v>21000000000</v>
      </c>
      <c r="C9" s="4">
        <f>SUM(C4:C8)</f>
        <v>1258.1341199999999</v>
      </c>
      <c r="D9" s="10">
        <f>C9/B9</f>
        <v>5.9911148571428564E-8</v>
      </c>
    </row>
    <row r="10" spans="1:12" x14ac:dyDescent="0.2">
      <c r="D10">
        <f>D9*B3</f>
        <v>1207.621104975291</v>
      </c>
      <c r="E10" s="3">
        <f>D10-C3</f>
        <v>-45.644600067998908</v>
      </c>
    </row>
    <row r="11" spans="1:12" ht="18" x14ac:dyDescent="0.2">
      <c r="G11" s="17"/>
      <c r="H11" s="21" t="s">
        <v>3</v>
      </c>
      <c r="I11" s="21" t="s">
        <v>8</v>
      </c>
      <c r="J11" s="21" t="s">
        <v>4</v>
      </c>
      <c r="K11" s="18"/>
      <c r="L11" s="20" t="s">
        <v>7</v>
      </c>
    </row>
    <row r="12" spans="1:12" ht="18" x14ac:dyDescent="0.2">
      <c r="G12" s="24">
        <v>3010095933</v>
      </c>
      <c r="H12" s="21">
        <v>66307.19</v>
      </c>
      <c r="I12" s="21">
        <f>J12/H12</f>
        <v>74.40000352902905</v>
      </c>
      <c r="J12" s="21">
        <v>4933255.17</v>
      </c>
      <c r="K12" s="23">
        <v>0.18</v>
      </c>
      <c r="L12" s="21">
        <f>K12*J12</f>
        <v>887985.93059999996</v>
      </c>
    </row>
    <row r="13" spans="1:12" ht="18" x14ac:dyDescent="0.2">
      <c r="G13" s="25"/>
      <c r="H13" s="18"/>
      <c r="I13" s="18"/>
      <c r="J13" s="18"/>
      <c r="K13" s="22"/>
      <c r="L13" s="18"/>
    </row>
    <row r="14" spans="1:12" ht="18" x14ac:dyDescent="0.2">
      <c r="G14" s="25"/>
      <c r="H14" s="18"/>
      <c r="I14" s="18"/>
      <c r="J14" s="18"/>
      <c r="K14" s="22"/>
      <c r="L14" s="18"/>
    </row>
    <row r="15" spans="1:12" ht="18" x14ac:dyDescent="0.2">
      <c r="G15" s="25"/>
      <c r="H15" s="18">
        <v>64137.56</v>
      </c>
      <c r="I15" s="18">
        <f>J15/H15</f>
        <v>74.399995416102513</v>
      </c>
      <c r="J15" s="18">
        <v>4771834.17</v>
      </c>
      <c r="K15" s="22"/>
      <c r="L15" s="18"/>
    </row>
    <row r="16" spans="1:12" ht="18" x14ac:dyDescent="0.2">
      <c r="G16" s="25"/>
      <c r="H16" s="18">
        <v>2169.64</v>
      </c>
      <c r="I16" s="18">
        <f>J16/H16</f>
        <v>74.399900444313346</v>
      </c>
      <c r="J16" s="18">
        <v>161421</v>
      </c>
      <c r="K16" s="22"/>
      <c r="L16" s="18"/>
    </row>
    <row r="17" spans="1:12" ht="18" x14ac:dyDescent="0.2">
      <c r="G17" s="26"/>
      <c r="H17" s="21">
        <v>66307.19</v>
      </c>
      <c r="I17" s="21">
        <f>J17/H17</f>
        <v>74.40000352902905</v>
      </c>
      <c r="J17" s="21">
        <v>4933255.17</v>
      </c>
      <c r="K17" s="23">
        <v>0.18</v>
      </c>
      <c r="L17" s="21">
        <f>K17*J17</f>
        <v>887985.93059999996</v>
      </c>
    </row>
    <row r="18" spans="1:12" ht="18" x14ac:dyDescent="0.25">
      <c r="C18" s="4">
        <v>7.0700000000000004E-10</v>
      </c>
      <c r="D18" s="2">
        <v>115.040256049335</v>
      </c>
      <c r="E18" s="3">
        <f>D18/C18</f>
        <v>162716062304.57565</v>
      </c>
    </row>
    <row r="23" spans="1:12" ht="18" x14ac:dyDescent="0.25">
      <c r="A23" s="1">
        <v>4.1072999999999998E-5</v>
      </c>
      <c r="B23" s="2">
        <v>56417049</v>
      </c>
      <c r="C23" s="2">
        <v>2317.217453577</v>
      </c>
    </row>
    <row r="24" spans="1:12" ht="18" x14ac:dyDescent="0.25">
      <c r="A24" s="1">
        <v>4.1044000000000002E-5</v>
      </c>
      <c r="B24" s="2">
        <v>533283</v>
      </c>
      <c r="C24" s="2">
        <v>21.888067452000001</v>
      </c>
    </row>
    <row r="25" spans="1:12" ht="18" x14ac:dyDescent="0.25">
      <c r="A25" s="1">
        <v>4.1183999999999997E-5</v>
      </c>
      <c r="B25" s="2">
        <v>2000000</v>
      </c>
      <c r="C25" s="2">
        <v>82.367999999999995</v>
      </c>
    </row>
    <row r="26" spans="1:12" x14ac:dyDescent="0.2">
      <c r="A26" s="4">
        <f>SUM(A23:A25)</f>
        <v>1.23301E-4</v>
      </c>
      <c r="B26" s="4">
        <f>SUM(B23:B25)</f>
        <v>58950332</v>
      </c>
      <c r="C26" s="4">
        <f>SUM(C23:C25)</f>
        <v>2421.473521029</v>
      </c>
    </row>
    <row r="28" spans="1:12" ht="28" x14ac:dyDescent="0.35">
      <c r="A28" s="12"/>
      <c r="B28" s="11"/>
      <c r="E28" s="3"/>
      <c r="F28" s="3"/>
    </row>
    <row r="29" spans="1:12" ht="18" x14ac:dyDescent="0.25">
      <c r="A29" s="3">
        <f>C29/B29*100</f>
        <v>1.253481894150418E-2</v>
      </c>
      <c r="B29">
        <v>718</v>
      </c>
      <c r="C29" s="4">
        <v>0.09</v>
      </c>
      <c r="D29" s="13">
        <v>0.62419999999999998</v>
      </c>
      <c r="E29">
        <f>D29/D30*100</f>
        <v>4.471431905507655E-2</v>
      </c>
    </row>
    <row r="30" spans="1:12" ht="18" x14ac:dyDescent="0.25">
      <c r="B30">
        <f>B29*75</f>
        <v>53850</v>
      </c>
      <c r="D30" s="13">
        <v>1395.9734000000001</v>
      </c>
    </row>
    <row r="34" spans="1:5" ht="18" x14ac:dyDescent="0.2">
      <c r="A34" s="14" t="s">
        <v>0</v>
      </c>
      <c r="B34" s="14" t="s">
        <v>1</v>
      </c>
      <c r="C34" s="15" t="s">
        <v>2</v>
      </c>
      <c r="D34" s="14" t="s">
        <v>3</v>
      </c>
      <c r="E34" s="14" t="s">
        <v>4</v>
      </c>
    </row>
    <row r="35" spans="1:5" ht="18" x14ac:dyDescent="0.2">
      <c r="A35" s="14">
        <v>310683023</v>
      </c>
      <c r="B35" s="14">
        <v>13000</v>
      </c>
      <c r="C35" s="15">
        <f>D35/B35</f>
        <v>7.3385692307692301</v>
      </c>
      <c r="D35" s="14">
        <v>95401.4</v>
      </c>
      <c r="E35" s="14">
        <v>7207575.96</v>
      </c>
    </row>
    <row r="36" spans="1:5" ht="18" x14ac:dyDescent="0.2">
      <c r="A36" s="14">
        <v>310665248</v>
      </c>
      <c r="B36" s="14">
        <v>10920</v>
      </c>
      <c r="C36" s="15">
        <f>D36/B36</f>
        <v>2.3291978021978021</v>
      </c>
      <c r="D36" s="14">
        <v>25434.84</v>
      </c>
      <c r="E36" s="14">
        <v>1921602.42</v>
      </c>
    </row>
    <row r="37" spans="1:5" ht="18" x14ac:dyDescent="0.2">
      <c r="A37" s="16">
        <f>SUM(A35:A36)</f>
        <v>621348271</v>
      </c>
      <c r="B37" s="16">
        <f>SUM(B35:B36)</f>
        <v>23920</v>
      </c>
      <c r="C37" s="15"/>
      <c r="D37" s="16">
        <f>SUM(D35:D36)</f>
        <v>120836.23999999999</v>
      </c>
      <c r="E37" s="16">
        <f>SUM(E35:E36)</f>
        <v>9129178.379999999</v>
      </c>
    </row>
  </sheetData>
  <mergeCells count="1">
    <mergeCell ref="G12:G17"/>
  </mergeCells>
  <pageMargins left="0.7" right="0.7" top="0.75" bottom="0.75" header="0.3" footer="0.3"/>
  <pageSetup paperSize="9" scale="3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2021-11-25T06:37:24Z</cp:lastPrinted>
  <dcterms:created xsi:type="dcterms:W3CDTF">2021-11-25T00:56:26Z</dcterms:created>
  <dcterms:modified xsi:type="dcterms:W3CDTF">2021-11-25T06:38:32Z</dcterms:modified>
</cp:coreProperties>
</file>