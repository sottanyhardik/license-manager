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22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hsott\Downloads\"/>
    </mc:Choice>
  </mc:AlternateContent>
  <xr:revisionPtr revIDLastSave="0" documentId="8_{A67DB55F-895A-4C58-9423-ED1FC375B3F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aro_details" sheetId="1" r:id="rId1"/>
  </sheets>
  <calcPr calcId="181029"/>
  <fileRecoveryPr repairLoad="1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purl.oclc.org/ooxml/spreadsheetml/main">
  <c r="I31" i="1" l="1"/>
  <c r="J31" i="1"/>
  <c r="M23" i="1"/>
  <c r="L23" i="1"/>
  <c r="M26" i="1"/>
  <c r="L26" i="1"/>
  <c r="L24" i="1"/>
  <c r="L25" i="1"/>
  <c r="L27" i="1"/>
  <c r="L11" i="1"/>
  <c r="L12" i="1"/>
  <c r="L29" i="1"/>
  <c r="L13" i="1"/>
  <c r="L7" i="1"/>
  <c r="L19" i="1"/>
  <c r="L28" i="1"/>
  <c r="L15" i="1"/>
  <c r="L6" i="1"/>
  <c r="L18" i="1"/>
  <c r="L5" i="1"/>
  <c r="L3" i="1"/>
  <c r="L2" i="1"/>
  <c r="L22" i="1"/>
  <c r="L14" i="1"/>
  <c r="L4" i="1"/>
  <c r="L9" i="1"/>
  <c r="L21" i="1"/>
  <c r="L8" i="1"/>
  <c r="L10" i="1"/>
  <c r="L30" i="1"/>
  <c r="L20" i="1"/>
  <c r="L17" i="1"/>
  <c r="L16" i="1"/>
  <c r="M24" i="1"/>
  <c r="L31" i="1" l="1"/>
  <c r="M25" i="1"/>
  <c r="M7" i="1"/>
  <c r="M13" i="1"/>
  <c r="M29" i="1"/>
  <c r="M12" i="1"/>
  <c r="M11" i="1"/>
  <c r="M4" i="1"/>
  <c r="M14" i="1"/>
  <c r="M22" i="1"/>
  <c r="M10" i="1"/>
  <c r="M15" i="1"/>
  <c r="M27" i="1"/>
  <c r="M3" i="1"/>
  <c r="M30" i="1"/>
  <c r="M6" i="1"/>
  <c r="M17" i="1"/>
  <c r="M16" i="1"/>
  <c r="M19" i="1"/>
  <c r="M2" i="1"/>
  <c r="M20" i="1"/>
  <c r="M21" i="1"/>
  <c r="M8" i="1"/>
  <c r="M9" i="1"/>
  <c r="M28" i="1"/>
  <c r="M18" i="1"/>
  <c r="M5" i="1"/>
  <c r="M31" i="1" l="1"/>
</calcChain>
</file>

<file path=xl/sharedStrings.xml><?xml version="1.0" encoding="utf-8"?>
<sst xmlns="http://purl.oclc.org/ooxml/spreadsheetml/main" count="106" uniqueCount="56">
  <si>
    <t>03/91/076/00072/AM19</t>
  </si>
  <si>
    <t>RAMA EXPORTS</t>
  </si>
  <si>
    <t>cane sugar</t>
  </si>
  <si>
    <t>03/91/076/00080/AM18</t>
  </si>
  <si>
    <t>03/91/076/00040/AM18</t>
  </si>
  <si>
    <t>03/87/076/00060/AM18</t>
  </si>
  <si>
    <t>KITES BAKERS</t>
  </si>
  <si>
    <t>03/87/076/00001/AM19</t>
  </si>
  <si>
    <t>03/87/076/00056/AM18</t>
  </si>
  <si>
    <t>03/83/076/00023/AM18</t>
  </si>
  <si>
    <t>CONTINENTAL EXPORTS</t>
  </si>
  <si>
    <t>03/91/076/00043/AM19</t>
  </si>
  <si>
    <t>03/91/076/00075/AM18</t>
  </si>
  <si>
    <t>RANI INTERNATIONAL</t>
  </si>
  <si>
    <t>03/83/076/00022/AM18</t>
  </si>
  <si>
    <t>03/83/076/00028/AM18</t>
  </si>
  <si>
    <t>03/91/076/00086/AM18</t>
  </si>
  <si>
    <t>03/87/076/00005/AM13</t>
  </si>
  <si>
    <t>Jai Gurudev</t>
  </si>
  <si>
    <t>03/91/076/00047/AM19</t>
  </si>
  <si>
    <t>03/91/076/00102/AM20</t>
  </si>
  <si>
    <t>03/91/076/00116/AM19</t>
  </si>
  <si>
    <t>03/83/076/00001/AM14</t>
  </si>
  <si>
    <t>03/85/076/00016/AM13</t>
  </si>
  <si>
    <t>LAXMI INTERNATIONAL</t>
  </si>
  <si>
    <t>03/85/076/00005/AM13</t>
  </si>
  <si>
    <t>03/85/076/00058/AM12</t>
  </si>
  <si>
    <t>03/91/076/00103/AM20</t>
  </si>
  <si>
    <t>03/91/076/00108/AM20</t>
  </si>
  <si>
    <t>03/91/076/00107/AM20</t>
  </si>
  <si>
    <t>03/88/076/00020/AM19</t>
  </si>
  <si>
    <t>SHAKTI FOOD PRODUCTS</t>
  </si>
  <si>
    <t>CTR</t>
  </si>
  <si>
    <t>SR NO</t>
  </si>
  <si>
    <t>LICENSE</t>
  </si>
  <si>
    <t>LICENSE DT</t>
  </si>
  <si>
    <t>FILE NUMBER</t>
  </si>
  <si>
    <t>EXPORTER</t>
  </si>
  <si>
    <t>HS CODE</t>
  </si>
  <si>
    <t>ITEM</t>
  </si>
  <si>
    <t>QUANTITY</t>
  </si>
  <si>
    <t>USD</t>
  </si>
  <si>
    <t>INR</t>
  </si>
  <si>
    <t>EXC RATE</t>
  </si>
  <si>
    <t>BILLING</t>
  </si>
  <si>
    <t>PARTY</t>
  </si>
  <si>
    <t>GE</t>
  </si>
  <si>
    <t>GMPL</t>
  </si>
  <si>
    <t>PAYMENT</t>
  </si>
  <si>
    <t>License</t>
  </si>
  <si>
    <t>03/84/076/00012/AM14</t>
  </si>
  <si>
    <t>GENERAL EXPORT ENTERPRISES</t>
  </si>
  <si>
    <t>03/91/076/00041/AM18</t>
  </si>
  <si>
    <t>03/91/076/00112/AM20</t>
  </si>
  <si>
    <t>03/91/076/00190/AM20</t>
  </si>
  <si>
    <t>03/91/076/00105/AM20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</si>
</sst>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9"/>
      <name val="Times New Roman"/>
      <family val="1"/>
    </font>
    <font>
      <b/>
      <sz val="9"/>
      <color theme="1"/>
      <name val="Calibri"/>
      <family val="2"/>
      <scheme val="minor"/>
    </font>
    <font>
      <sz val="9"/>
      <name val="Times New Roman"/>
      <family val="1"/>
    </font>
    <font>
      <sz val="9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43" fontId="0" fillId="0" borderId="0" xfId="0" applyNumberFormat="1"/>
    <xf numFmtId="0" fontId="18" fillId="33" borderId="10" xfId="0" applyFont="1" applyFill="1" applyBorder="1"/>
    <xf numFmtId="0" fontId="19" fillId="0" borderId="10" xfId="0" applyFont="1" applyFill="1" applyBorder="1"/>
    <xf numFmtId="0" fontId="20" fillId="33" borderId="10" xfId="0" applyFont="1" applyFill="1" applyBorder="1" applyAlignment="1">
      <alignment vertical="center" wrapText="1"/>
    </xf>
    <xf numFmtId="14" fontId="20" fillId="33" borderId="10" xfId="0" applyNumberFormat="1" applyFont="1" applyFill="1" applyBorder="1" applyAlignment="1">
      <alignment vertical="center" wrapText="1"/>
    </xf>
    <xf numFmtId="0" fontId="20" fillId="33" borderId="10" xfId="0" applyFont="1" applyFill="1" applyBorder="1"/>
    <xf numFmtId="164" fontId="20" fillId="33" borderId="10" xfId="1" applyFont="1" applyFill="1" applyBorder="1"/>
    <xf numFmtId="0" fontId="21" fillId="0" borderId="10" xfId="0" applyFont="1" applyBorder="1"/>
    <xf numFmtId="0" fontId="21" fillId="0" borderId="10" xfId="0" applyFont="1" applyBorder="1" applyAlignment="1">
      <alignment horizontal="center"/>
    </xf>
    <xf numFmtId="164" fontId="18" fillId="33" borderId="10" xfId="1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2"/>
  <sheetViews>
    <sheetView tabSelected="1" workbookViewId="0"/>
  </sheetViews>
  <sheetFormatPr defaultColWidth="11.19921875" defaultRowHeight="15.6" x14ac:dyDescent="0.3"/>
  <cols>
    <col min="1" max="1" width="3.8984375" bestFit="1" customWidth="1"/>
    <col min="2" max="2" width="5.296875" bestFit="1" customWidth="1"/>
    <col min="3" max="3" width="7.296875" bestFit="1" customWidth="1"/>
    <col min="4" max="4" width="9.796875" bestFit="1" customWidth="1"/>
    <col min="5" max="5" width="15.296875" bestFit="1" customWidth="1"/>
    <col min="6" max="6" width="19.19921875" bestFit="1" customWidth="1"/>
    <col min="7" max="7" width="7.5" bestFit="1" customWidth="1"/>
    <col min="8" max="8" width="7.09765625" bestFit="1" customWidth="1"/>
    <col min="9" max="10" width="10.09765625" bestFit="1" customWidth="1"/>
    <col min="11" max="11" width="8.3984375" bestFit="1" customWidth="1"/>
    <col min="12" max="12" width="12.09765625" bestFit="1" customWidth="1"/>
    <col min="13" max="13" width="11.296875" bestFit="1" customWidth="1"/>
    <col min="14" max="14" width="5.296875" bestFit="1" customWidth="1"/>
    <col min="15" max="15" width="4.69921875" bestFit="1" customWidth="1"/>
    <col min="16" max="16" width="2.3984375" bestFit="1" customWidth="1"/>
    <col min="17" max="17" width="4.3984375" bestFit="1" customWidth="1"/>
    <col min="18" max="18" width="6.8984375" bestFit="1" customWidth="1"/>
  </cols>
  <sheetData>
    <row r="1" spans="1:18" x14ac:dyDescent="0.3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  <c r="J1" s="3" t="s">
        <v>41</v>
      </c>
      <c r="K1" s="3" t="s">
        <v>43</v>
      </c>
      <c r="L1" s="3" t="s">
        <v>42</v>
      </c>
      <c r="M1" s="3" t="s">
        <v>44</v>
      </c>
      <c r="N1" s="4" t="s">
        <v>49</v>
      </c>
      <c r="O1" s="4" t="s">
        <v>45</v>
      </c>
      <c r="P1" s="4" t="s">
        <v>46</v>
      </c>
      <c r="Q1" s="4" t="s">
        <v>47</v>
      </c>
      <c r="R1" s="4" t="s">
        <v>48</v>
      </c>
    </row>
    <row r="2" spans="1:18" x14ac:dyDescent="0.3">
      <c r="A2" s="5">
        <v>12</v>
      </c>
      <c r="B2" s="5">
        <v>2</v>
      </c>
      <c r="C2" s="5">
        <v>310831992</v>
      </c>
      <c r="D2" s="6" t="d">
        <v>2019-10-03</v>
      </c>
      <c r="E2" s="5" t="s">
        <v>14</v>
      </c>
      <c r="F2" s="5" t="s">
        <v>10</v>
      </c>
      <c r="G2" s="7">
        <v>17019990</v>
      </c>
      <c r="H2" s="7" t="s">
        <v>2</v>
      </c>
      <c r="I2" s="5">
        <v>88847</v>
      </c>
      <c r="J2" s="5">
        <v>28431.05</v>
      </c>
      <c r="K2" s="8">
        <v>70</v>
      </c>
      <c r="L2" s="8">
        <f>J2*K2</f>
        <v>1990173.5</v>
      </c>
      <c r="M2" s="8">
        <f>I2*6.8</f>
        <v>604159.6</v>
      </c>
      <c r="N2" s="9"/>
      <c r="O2" s="9"/>
      <c r="P2" s="9"/>
      <c r="Q2" s="9"/>
      <c r="R2" s="9"/>
    </row>
    <row r="3" spans="1:18" x14ac:dyDescent="0.3">
      <c r="A3" s="5">
        <v>13</v>
      </c>
      <c r="B3" s="5">
        <v>2</v>
      </c>
      <c r="C3" s="5">
        <v>310831990</v>
      </c>
      <c r="D3" s="6" t="d">
        <v>2019-10-03</v>
      </c>
      <c r="E3" s="5" t="s">
        <v>15</v>
      </c>
      <c r="F3" s="5" t="s">
        <v>10</v>
      </c>
      <c r="G3" s="7">
        <v>17019990</v>
      </c>
      <c r="H3" s="7" t="s">
        <v>2</v>
      </c>
      <c r="I3" s="5">
        <v>90082</v>
      </c>
      <c r="J3" s="5">
        <v>28826.5</v>
      </c>
      <c r="K3" s="8">
        <v>70</v>
      </c>
      <c r="L3" s="8">
        <f>J3*K3</f>
        <v>2017855</v>
      </c>
      <c r="M3" s="8">
        <f>I3*6.8</f>
        <v>612557.6</v>
      </c>
      <c r="N3" s="9"/>
      <c r="O3" s="9"/>
      <c r="P3" s="9"/>
      <c r="Q3" s="9"/>
      <c r="R3" s="9"/>
    </row>
    <row r="4" spans="1:18" x14ac:dyDescent="0.3">
      <c r="A4" s="5">
        <v>9</v>
      </c>
      <c r="B4" s="5">
        <v>1</v>
      </c>
      <c r="C4" s="5">
        <v>310832148</v>
      </c>
      <c r="D4" s="6" t="d">
        <v>2019-10-11</v>
      </c>
      <c r="E4" s="5" t="s">
        <v>9</v>
      </c>
      <c r="F4" s="5" t="s">
        <v>10</v>
      </c>
      <c r="G4" s="7">
        <v>17019990</v>
      </c>
      <c r="H4" s="7" t="s">
        <v>2</v>
      </c>
      <c r="I4" s="5">
        <v>75604</v>
      </c>
      <c r="J4" s="5">
        <v>24193.54</v>
      </c>
      <c r="K4" s="8">
        <v>70</v>
      </c>
      <c r="L4" s="8">
        <f>J4*K4</f>
        <v>1693547.8</v>
      </c>
      <c r="M4" s="8">
        <f>I4*6.8</f>
        <v>514107.2</v>
      </c>
      <c r="N4" s="9"/>
      <c r="O4" s="9"/>
      <c r="P4" s="9"/>
      <c r="Q4" s="9"/>
      <c r="R4" s="9"/>
    </row>
    <row r="5" spans="1:18" ht="24" x14ac:dyDescent="0.3">
      <c r="A5" s="5">
        <v>14</v>
      </c>
      <c r="B5" s="5">
        <v>2</v>
      </c>
      <c r="C5" s="5">
        <v>310732837</v>
      </c>
      <c r="D5" s="6" t="d">
        <v>2013-04-30</v>
      </c>
      <c r="E5" s="5" t="s">
        <v>50</v>
      </c>
      <c r="F5" s="5" t="s">
        <v>51</v>
      </c>
      <c r="G5" s="7">
        <v>17019990</v>
      </c>
      <c r="H5" s="7" t="s">
        <v>2</v>
      </c>
      <c r="I5" s="5">
        <v>90274</v>
      </c>
      <c r="J5" s="5">
        <v>28887.93</v>
      </c>
      <c r="K5" s="8">
        <v>70</v>
      </c>
      <c r="L5" s="8">
        <f>J5*K5</f>
        <v>2022155.1</v>
      </c>
      <c r="M5" s="8">
        <f>I5*6.8</f>
        <v>613863.19999999995</v>
      </c>
      <c r="N5" s="9"/>
      <c r="O5" s="9"/>
      <c r="P5" s="9"/>
      <c r="Q5" s="9"/>
      <c r="R5" s="9"/>
    </row>
    <row r="6" spans="1:18" x14ac:dyDescent="0.3">
      <c r="A6" s="5">
        <v>16</v>
      </c>
      <c r="B6" s="5">
        <v>8</v>
      </c>
      <c r="C6" s="5">
        <v>310720614</v>
      </c>
      <c r="D6" s="6" t="d">
        <v>2013-01-14</v>
      </c>
      <c r="E6" s="5" t="s">
        <v>17</v>
      </c>
      <c r="F6" s="5" t="s">
        <v>18</v>
      </c>
      <c r="G6" s="7">
        <v>17019990</v>
      </c>
      <c r="H6" s="7" t="s">
        <v>2</v>
      </c>
      <c r="I6" s="5">
        <v>132077</v>
      </c>
      <c r="J6" s="5">
        <v>42264.77</v>
      </c>
      <c r="K6" s="8">
        <v>70</v>
      </c>
      <c r="L6" s="8">
        <f>J6*K6</f>
        <v>2958533.9</v>
      </c>
      <c r="M6" s="8">
        <f>I6*6.8</f>
        <v>898123.6</v>
      </c>
      <c r="N6" s="9"/>
      <c r="O6" s="9"/>
      <c r="P6" s="9"/>
      <c r="Q6" s="9"/>
      <c r="R6" s="9"/>
    </row>
    <row r="7" spans="1:18" x14ac:dyDescent="0.3">
      <c r="A7" s="5">
        <v>20</v>
      </c>
      <c r="B7" s="5">
        <v>1</v>
      </c>
      <c r="C7" s="5">
        <v>310757968</v>
      </c>
      <c r="D7" s="6" t="d">
        <v>2013-11-14</v>
      </c>
      <c r="E7" s="5" t="s">
        <v>22</v>
      </c>
      <c r="F7" s="5" t="s">
        <v>18</v>
      </c>
      <c r="G7" s="7">
        <v>17019990</v>
      </c>
      <c r="H7" s="7" t="s">
        <v>2</v>
      </c>
      <c r="I7" s="5">
        <v>159374</v>
      </c>
      <c r="J7" s="5">
        <v>50999.73</v>
      </c>
      <c r="K7" s="8">
        <v>70</v>
      </c>
      <c r="L7" s="8">
        <f>J7*K7</f>
        <v>3569981.1</v>
      </c>
      <c r="M7" s="8">
        <f>I7*6.8</f>
        <v>1083743.2</v>
      </c>
      <c r="N7" s="9"/>
      <c r="O7" s="9"/>
      <c r="P7" s="9"/>
      <c r="Q7" s="9"/>
      <c r="R7" s="9"/>
    </row>
    <row r="8" spans="1:18" x14ac:dyDescent="0.3">
      <c r="A8" s="5">
        <v>6</v>
      </c>
      <c r="B8" s="5">
        <v>2</v>
      </c>
      <c r="C8" s="5">
        <v>310831149</v>
      </c>
      <c r="D8" s="6" t="d">
        <v>2019-08-21</v>
      </c>
      <c r="E8" s="5" t="s">
        <v>7</v>
      </c>
      <c r="F8" s="5" t="s">
        <v>6</v>
      </c>
      <c r="G8" s="7">
        <v>17019990</v>
      </c>
      <c r="H8" s="7" t="s">
        <v>2</v>
      </c>
      <c r="I8" s="5">
        <v>33962</v>
      </c>
      <c r="J8" s="5">
        <v>10868</v>
      </c>
      <c r="K8" s="8">
        <v>70</v>
      </c>
      <c r="L8" s="8">
        <f>J8*K8</f>
        <v>760760</v>
      </c>
      <c r="M8" s="8">
        <f>I8*6.8</f>
        <v>230941.6</v>
      </c>
      <c r="N8" s="9"/>
      <c r="O8" s="9"/>
      <c r="P8" s="9"/>
      <c r="Q8" s="9"/>
      <c r="R8" s="9"/>
    </row>
    <row r="9" spans="1:18" x14ac:dyDescent="0.3">
      <c r="A9" s="5">
        <v>8</v>
      </c>
      <c r="B9" s="5">
        <v>2</v>
      </c>
      <c r="C9" s="5">
        <v>310831147</v>
      </c>
      <c r="D9" s="6" t="d">
        <v>2019-08-21</v>
      </c>
      <c r="E9" s="5" t="s">
        <v>8</v>
      </c>
      <c r="F9" s="5" t="s">
        <v>6</v>
      </c>
      <c r="G9" s="7">
        <v>17019990</v>
      </c>
      <c r="H9" s="7" t="s">
        <v>2</v>
      </c>
      <c r="I9" s="5">
        <v>44240</v>
      </c>
      <c r="J9" s="5">
        <v>14156.85</v>
      </c>
      <c r="K9" s="8">
        <v>70</v>
      </c>
      <c r="L9" s="8">
        <f>J9*K9</f>
        <v>990979.5</v>
      </c>
      <c r="M9" s="8">
        <f>I9*6.8</f>
        <v>300832</v>
      </c>
      <c r="N9" s="9"/>
      <c r="O9" s="9"/>
      <c r="P9" s="9"/>
      <c r="Q9" s="9"/>
      <c r="R9" s="9"/>
    </row>
    <row r="10" spans="1:18" x14ac:dyDescent="0.3">
      <c r="A10" s="5">
        <v>5</v>
      </c>
      <c r="B10" s="5">
        <v>2</v>
      </c>
      <c r="C10" s="5">
        <v>310831148</v>
      </c>
      <c r="D10" s="6" t="d">
        <v>2019-08-21</v>
      </c>
      <c r="E10" s="5" t="s">
        <v>5</v>
      </c>
      <c r="F10" s="5" t="s">
        <v>6</v>
      </c>
      <c r="G10" s="7">
        <v>17019990</v>
      </c>
      <c r="H10" s="7" t="s">
        <v>2</v>
      </c>
      <c r="I10" s="5">
        <v>33007</v>
      </c>
      <c r="J10" s="5">
        <v>10562.36</v>
      </c>
      <c r="K10" s="8">
        <v>70</v>
      </c>
      <c r="L10" s="8">
        <f>J10*K10</f>
        <v>739365.20000000007</v>
      </c>
      <c r="M10" s="8">
        <f>I10*6.8</f>
        <v>224447.6</v>
      </c>
      <c r="N10" s="9"/>
      <c r="O10" s="9"/>
      <c r="P10" s="9"/>
      <c r="Q10" s="9"/>
      <c r="R10" s="9"/>
    </row>
    <row r="11" spans="1:18" x14ac:dyDescent="0.3">
      <c r="A11" s="5">
        <v>24</v>
      </c>
      <c r="B11" s="5">
        <v>1</v>
      </c>
      <c r="C11" s="5">
        <v>310689110</v>
      </c>
      <c r="D11" s="6" t="d">
        <v>2012-03-30</v>
      </c>
      <c r="E11" s="5" t="s">
        <v>26</v>
      </c>
      <c r="F11" s="5" t="s">
        <v>24</v>
      </c>
      <c r="G11" s="7">
        <v>17019990</v>
      </c>
      <c r="H11" s="7" t="s">
        <v>2</v>
      </c>
      <c r="I11" s="5">
        <v>253335</v>
      </c>
      <c r="J11" s="5">
        <v>81067.47</v>
      </c>
      <c r="K11" s="8">
        <v>70</v>
      </c>
      <c r="L11" s="8">
        <f>J11*K11</f>
        <v>5674722.9000000004</v>
      </c>
      <c r="M11" s="8">
        <f>I11*6.8</f>
        <v>1722678</v>
      </c>
      <c r="N11" s="9"/>
      <c r="O11" s="9"/>
      <c r="P11" s="9"/>
      <c r="Q11" s="9"/>
      <c r="R11" s="9"/>
    </row>
    <row r="12" spans="1:18" x14ac:dyDescent="0.3">
      <c r="A12" s="5">
        <v>23</v>
      </c>
      <c r="B12" s="5">
        <v>1</v>
      </c>
      <c r="C12" s="5">
        <v>310702191</v>
      </c>
      <c r="D12" s="6" t="d">
        <v>2012-07-18</v>
      </c>
      <c r="E12" s="5" t="s">
        <v>25</v>
      </c>
      <c r="F12" s="5" t="s">
        <v>24</v>
      </c>
      <c r="G12" s="7">
        <v>17019990</v>
      </c>
      <c r="H12" s="7" t="s">
        <v>2</v>
      </c>
      <c r="I12" s="5">
        <v>225056</v>
      </c>
      <c r="J12" s="5">
        <v>72018.2</v>
      </c>
      <c r="K12" s="8">
        <v>70</v>
      </c>
      <c r="L12" s="8">
        <f>J12*K12</f>
        <v>5041274</v>
      </c>
      <c r="M12" s="8">
        <f>I12*6.8</f>
        <v>1530380.8</v>
      </c>
      <c r="N12" s="9"/>
      <c r="O12" s="9"/>
      <c r="P12" s="9"/>
      <c r="Q12" s="9"/>
      <c r="R12" s="9"/>
    </row>
    <row r="13" spans="1:18" x14ac:dyDescent="0.3">
      <c r="A13" s="5">
        <v>21</v>
      </c>
      <c r="B13" s="5">
        <v>1</v>
      </c>
      <c r="C13" s="5">
        <v>310709467</v>
      </c>
      <c r="D13" s="6" t="d">
        <v>2012-09-18</v>
      </c>
      <c r="E13" s="5" t="s">
        <v>23</v>
      </c>
      <c r="F13" s="5" t="s">
        <v>24</v>
      </c>
      <c r="G13" s="7">
        <v>17019990</v>
      </c>
      <c r="H13" s="7" t="s">
        <v>2</v>
      </c>
      <c r="I13" s="5">
        <v>212925</v>
      </c>
      <c r="J13" s="5">
        <v>68136.31</v>
      </c>
      <c r="K13" s="8">
        <v>70</v>
      </c>
      <c r="L13" s="8">
        <f>J13*K13</f>
        <v>4769541.7</v>
      </c>
      <c r="M13" s="8">
        <f>I13*6.8</f>
        <v>1447890</v>
      </c>
      <c r="N13" s="9"/>
      <c r="O13" s="9"/>
      <c r="P13" s="9"/>
      <c r="Q13" s="9"/>
      <c r="R13" s="9"/>
    </row>
    <row r="14" spans="1:18" x14ac:dyDescent="0.3">
      <c r="A14" s="5">
        <v>10</v>
      </c>
      <c r="B14" s="5">
        <v>1</v>
      </c>
      <c r="C14" s="5">
        <v>310831829</v>
      </c>
      <c r="D14" s="6" t="d">
        <v>2019-09-26</v>
      </c>
      <c r="E14" s="5" t="s">
        <v>11</v>
      </c>
      <c r="F14" s="5" t="s">
        <v>1</v>
      </c>
      <c r="G14" s="7">
        <v>17019990</v>
      </c>
      <c r="H14" s="7" t="s">
        <v>2</v>
      </c>
      <c r="I14" s="5">
        <v>77321</v>
      </c>
      <c r="J14" s="5">
        <v>24742.77</v>
      </c>
      <c r="K14" s="8">
        <v>70</v>
      </c>
      <c r="L14" s="8">
        <f>J14*K14</f>
        <v>1731993.9000000001</v>
      </c>
      <c r="M14" s="8">
        <f>I14*6.8</f>
        <v>525782.79999999993</v>
      </c>
      <c r="N14" s="9"/>
      <c r="O14" s="9"/>
      <c r="P14" s="9"/>
      <c r="Q14" s="9"/>
      <c r="R14" s="9"/>
    </row>
    <row r="15" spans="1:18" x14ac:dyDescent="0.3">
      <c r="A15" s="5">
        <v>17</v>
      </c>
      <c r="B15" s="5">
        <v>1</v>
      </c>
      <c r="C15" s="5">
        <v>310831830</v>
      </c>
      <c r="D15" s="6" t="d">
        <v>2019-09-26</v>
      </c>
      <c r="E15" s="5" t="s">
        <v>19</v>
      </c>
      <c r="F15" s="5" t="s">
        <v>1</v>
      </c>
      <c r="G15" s="7">
        <v>17019990</v>
      </c>
      <c r="H15" s="7" t="s">
        <v>2</v>
      </c>
      <c r="I15" s="5">
        <v>135409</v>
      </c>
      <c r="J15" s="5">
        <v>43331.040000000001</v>
      </c>
      <c r="K15" s="8">
        <v>70</v>
      </c>
      <c r="L15" s="8">
        <f>J15*K15</f>
        <v>3033172.8000000003</v>
      </c>
      <c r="M15" s="8">
        <f>I15*6.8</f>
        <v>920781.2</v>
      </c>
      <c r="N15" s="9"/>
      <c r="O15" s="9"/>
      <c r="P15" s="9"/>
      <c r="Q15" s="9"/>
      <c r="R15" s="9"/>
    </row>
    <row r="16" spans="1:18" x14ac:dyDescent="0.3">
      <c r="A16" s="5">
        <v>1</v>
      </c>
      <c r="B16" s="5">
        <v>2</v>
      </c>
      <c r="C16" s="5">
        <v>310831828</v>
      </c>
      <c r="D16" s="6" t="d">
        <v>2019-09-26</v>
      </c>
      <c r="E16" s="5" t="s">
        <v>0</v>
      </c>
      <c r="F16" s="5" t="s">
        <v>1</v>
      </c>
      <c r="G16" s="7">
        <v>17019990</v>
      </c>
      <c r="H16" s="7" t="s">
        <v>2</v>
      </c>
      <c r="I16" s="5">
        <v>10194</v>
      </c>
      <c r="J16" s="5">
        <v>3262.26</v>
      </c>
      <c r="K16" s="8">
        <v>70</v>
      </c>
      <c r="L16" s="8">
        <f>J16*K16</f>
        <v>228358.2</v>
      </c>
      <c r="M16" s="8">
        <f>I16*6.8</f>
        <v>69319.199999999997</v>
      </c>
      <c r="N16" s="9"/>
      <c r="O16" s="9"/>
      <c r="P16" s="9"/>
      <c r="Q16" s="9"/>
      <c r="R16" s="9"/>
    </row>
    <row r="17" spans="1:18" x14ac:dyDescent="0.3">
      <c r="A17" s="5">
        <v>2</v>
      </c>
      <c r="B17" s="5">
        <v>2</v>
      </c>
      <c r="C17" s="5">
        <v>310831843</v>
      </c>
      <c r="D17" s="6" t="d">
        <v>2019-09-26</v>
      </c>
      <c r="E17" s="5" t="s">
        <v>3</v>
      </c>
      <c r="F17" s="5" t="s">
        <v>1</v>
      </c>
      <c r="G17" s="7">
        <v>17019990</v>
      </c>
      <c r="H17" s="7" t="s">
        <v>2</v>
      </c>
      <c r="I17" s="5">
        <v>19367</v>
      </c>
      <c r="J17" s="5">
        <v>6197.56</v>
      </c>
      <c r="K17" s="8">
        <v>70</v>
      </c>
      <c r="L17" s="8">
        <f>J17*K17</f>
        <v>433829.2</v>
      </c>
      <c r="M17" s="8">
        <f>I17*6.8</f>
        <v>131695.6</v>
      </c>
      <c r="N17" s="9"/>
      <c r="O17" s="9"/>
      <c r="P17" s="9"/>
      <c r="Q17" s="9"/>
      <c r="R17" s="9"/>
    </row>
    <row r="18" spans="1:18" x14ac:dyDescent="0.3">
      <c r="A18" s="5">
        <v>15</v>
      </c>
      <c r="B18" s="5">
        <v>1</v>
      </c>
      <c r="C18" s="5">
        <v>310831831</v>
      </c>
      <c r="D18" s="6" t="d">
        <v>2019-09-26</v>
      </c>
      <c r="E18" s="5" t="s">
        <v>16</v>
      </c>
      <c r="F18" s="5" t="s">
        <v>1</v>
      </c>
      <c r="G18" s="7">
        <v>17019990</v>
      </c>
      <c r="H18" s="7" t="s">
        <v>2</v>
      </c>
      <c r="I18" s="5">
        <v>104142</v>
      </c>
      <c r="J18" s="5">
        <v>33325.440000000002</v>
      </c>
      <c r="K18" s="8">
        <v>70</v>
      </c>
      <c r="L18" s="8">
        <f>J18*K18</f>
        <v>2332780.8000000003</v>
      </c>
      <c r="M18" s="8">
        <f>I18*6.8</f>
        <v>708165.6</v>
      </c>
      <c r="N18" s="9"/>
      <c r="O18" s="9"/>
      <c r="P18" s="9"/>
      <c r="Q18" s="9"/>
      <c r="R18" s="9"/>
    </row>
    <row r="19" spans="1:18" x14ac:dyDescent="0.3">
      <c r="A19" s="5">
        <v>19</v>
      </c>
      <c r="B19" s="5">
        <v>1</v>
      </c>
      <c r="C19" s="5">
        <v>310831827</v>
      </c>
      <c r="D19" s="6" t="d">
        <v>2019-09-26</v>
      </c>
      <c r="E19" s="5" t="s">
        <v>21</v>
      </c>
      <c r="F19" s="5" t="s">
        <v>1</v>
      </c>
      <c r="G19" s="7">
        <v>17019990</v>
      </c>
      <c r="H19" s="7" t="s">
        <v>2</v>
      </c>
      <c r="I19" s="5">
        <v>145255</v>
      </c>
      <c r="J19" s="5">
        <v>46481.66</v>
      </c>
      <c r="K19" s="8">
        <v>70</v>
      </c>
      <c r="L19" s="8">
        <f>J19*K19</f>
        <v>3253716.2</v>
      </c>
      <c r="M19" s="8">
        <f>I19*6.8</f>
        <v>987734</v>
      </c>
      <c r="N19" s="9"/>
      <c r="O19" s="9"/>
      <c r="P19" s="9"/>
      <c r="Q19" s="9"/>
      <c r="R19" s="9"/>
    </row>
    <row r="20" spans="1:18" x14ac:dyDescent="0.3">
      <c r="A20" s="5">
        <v>3</v>
      </c>
      <c r="B20" s="5">
        <v>1</v>
      </c>
      <c r="C20" s="5">
        <v>310831880</v>
      </c>
      <c r="D20" s="6" t="d">
        <v>2019-09-27</v>
      </c>
      <c r="E20" s="5" t="s">
        <v>4</v>
      </c>
      <c r="F20" s="5" t="s">
        <v>1</v>
      </c>
      <c r="G20" s="7">
        <v>17019990</v>
      </c>
      <c r="H20" s="7" t="s">
        <v>2</v>
      </c>
      <c r="I20" s="5">
        <v>32325</v>
      </c>
      <c r="J20" s="5">
        <v>10344</v>
      </c>
      <c r="K20" s="8">
        <v>70</v>
      </c>
      <c r="L20" s="8">
        <f>J20*K20</f>
        <v>724080</v>
      </c>
      <c r="M20" s="8">
        <f>I20*6.8</f>
        <v>219810</v>
      </c>
      <c r="N20" s="9"/>
      <c r="O20" s="9"/>
      <c r="P20" s="9"/>
      <c r="Q20" s="9"/>
      <c r="R20" s="9"/>
    </row>
    <row r="21" spans="1:18" x14ac:dyDescent="0.3">
      <c r="A21" s="5">
        <v>7</v>
      </c>
      <c r="B21" s="5">
        <v>1</v>
      </c>
      <c r="C21" s="5">
        <v>310830479</v>
      </c>
      <c r="D21" s="6" t="d">
        <v>2019-07-23</v>
      </c>
      <c r="E21" s="5" t="s">
        <v>52</v>
      </c>
      <c r="F21" s="5" t="s">
        <v>13</v>
      </c>
      <c r="G21" s="7">
        <v>17019990</v>
      </c>
      <c r="H21" s="7" t="s">
        <v>2</v>
      </c>
      <c r="I21" s="5">
        <v>35347</v>
      </c>
      <c r="J21" s="5">
        <v>11311.2</v>
      </c>
      <c r="K21" s="8">
        <v>70</v>
      </c>
      <c r="L21" s="8">
        <f>J21*K21</f>
        <v>791784</v>
      </c>
      <c r="M21" s="8">
        <f>I21*6.8</f>
        <v>240359.6</v>
      </c>
      <c r="N21" s="9"/>
      <c r="O21" s="9"/>
      <c r="P21" s="9"/>
      <c r="Q21" s="9"/>
      <c r="R21" s="9"/>
    </row>
    <row r="22" spans="1:18" x14ac:dyDescent="0.3">
      <c r="A22" s="5">
        <v>11</v>
      </c>
      <c r="B22" s="5">
        <v>1</v>
      </c>
      <c r="C22" s="5">
        <v>310831825</v>
      </c>
      <c r="D22" s="6" t="d">
        <v>2019-09-26</v>
      </c>
      <c r="E22" s="5" t="s">
        <v>12</v>
      </c>
      <c r="F22" s="5" t="s">
        <v>13</v>
      </c>
      <c r="G22" s="7">
        <v>17019990</v>
      </c>
      <c r="H22" s="7" t="s">
        <v>2</v>
      </c>
      <c r="I22" s="5">
        <v>80837</v>
      </c>
      <c r="J22" s="5">
        <v>25868.080000000002</v>
      </c>
      <c r="K22" s="8">
        <v>70</v>
      </c>
      <c r="L22" s="8">
        <f>J22*K22</f>
        <v>1810765.6</v>
      </c>
      <c r="M22" s="8">
        <f>I22*6.8</f>
        <v>549691.6</v>
      </c>
      <c r="N22" s="9"/>
      <c r="O22" s="9"/>
      <c r="P22" s="9"/>
      <c r="Q22" s="9"/>
      <c r="R22" s="9"/>
    </row>
    <row r="23" spans="1:18" x14ac:dyDescent="0.3">
      <c r="A23" s="5">
        <v>29</v>
      </c>
      <c r="B23" s="5">
        <v>1</v>
      </c>
      <c r="C23" s="5">
        <v>310832398</v>
      </c>
      <c r="D23" s="6" t="d">
        <v>2019-10-23</v>
      </c>
      <c r="E23" s="5" t="s">
        <v>55</v>
      </c>
      <c r="F23" s="5" t="s">
        <v>13</v>
      </c>
      <c r="G23" s="7">
        <v>17019990</v>
      </c>
      <c r="H23" s="7" t="s">
        <v>2</v>
      </c>
      <c r="I23" s="5">
        <v>595243</v>
      </c>
      <c r="J23" s="5">
        <v>190477.76</v>
      </c>
      <c r="K23" s="8">
        <v>70</v>
      </c>
      <c r="L23" s="8">
        <f>J23*K23</f>
        <v>13333443.200000001</v>
      </c>
      <c r="M23" s="8">
        <f>I23*6.8</f>
        <v>4047652.4</v>
      </c>
      <c r="N23" s="9"/>
      <c r="O23" s="9"/>
      <c r="P23" s="9"/>
      <c r="Q23" s="9"/>
      <c r="R23" s="9"/>
    </row>
    <row r="24" spans="1:18" x14ac:dyDescent="0.3">
      <c r="A24" s="5">
        <v>27</v>
      </c>
      <c r="B24" s="5">
        <v>1</v>
      </c>
      <c r="C24" s="5">
        <v>310832432</v>
      </c>
      <c r="D24" s="6" t="d">
        <v>2019-10-24</v>
      </c>
      <c r="E24" s="5" t="s">
        <v>29</v>
      </c>
      <c r="F24" s="5" t="s">
        <v>13</v>
      </c>
      <c r="G24" s="7">
        <v>17019990</v>
      </c>
      <c r="H24" s="7" t="s">
        <v>2</v>
      </c>
      <c r="I24" s="5">
        <v>540162</v>
      </c>
      <c r="J24" s="5">
        <v>172852.12</v>
      </c>
      <c r="K24" s="8">
        <v>70</v>
      </c>
      <c r="L24" s="8">
        <f>J24*K24</f>
        <v>12099648.4</v>
      </c>
      <c r="M24" s="8">
        <f>I24*6.8</f>
        <v>3673101.6</v>
      </c>
      <c r="N24" s="9"/>
      <c r="O24" s="9"/>
      <c r="P24" s="9"/>
      <c r="Q24" s="9"/>
      <c r="R24" s="9"/>
    </row>
    <row r="25" spans="1:18" x14ac:dyDescent="0.3">
      <c r="A25" s="5">
        <v>26</v>
      </c>
      <c r="B25" s="5">
        <v>1</v>
      </c>
      <c r="C25" s="5">
        <v>310832433</v>
      </c>
      <c r="D25" s="6" t="d">
        <v>2019-10-24</v>
      </c>
      <c r="E25" s="5" t="s">
        <v>28</v>
      </c>
      <c r="F25" s="5" t="s">
        <v>13</v>
      </c>
      <c r="G25" s="7">
        <v>17019990</v>
      </c>
      <c r="H25" s="7" t="s">
        <v>2</v>
      </c>
      <c r="I25" s="5">
        <v>514689</v>
      </c>
      <c r="J25" s="5">
        <v>164700.51999999999</v>
      </c>
      <c r="K25" s="8">
        <v>70</v>
      </c>
      <c r="L25" s="8">
        <f>J25*K25</f>
        <v>11529036.399999999</v>
      </c>
      <c r="M25" s="8">
        <f>I25*6.8</f>
        <v>3499885.1999999997</v>
      </c>
      <c r="N25" s="9"/>
      <c r="O25" s="9"/>
      <c r="P25" s="9"/>
      <c r="Q25" s="9"/>
      <c r="R25" s="9"/>
    </row>
    <row r="26" spans="1:18" x14ac:dyDescent="0.3">
      <c r="A26" s="5">
        <v>28</v>
      </c>
      <c r="B26" s="5">
        <v>1</v>
      </c>
      <c r="C26" s="5">
        <v>310832430</v>
      </c>
      <c r="D26" s="6" t="d">
        <v>2019-10-24</v>
      </c>
      <c r="E26" s="5" t="s">
        <v>54</v>
      </c>
      <c r="F26" s="5" t="s">
        <v>13</v>
      </c>
      <c r="G26" s="7">
        <v>17019990</v>
      </c>
      <c r="H26" s="7" t="s">
        <v>2</v>
      </c>
      <c r="I26" s="5">
        <v>575822</v>
      </c>
      <c r="J26" s="5">
        <v>184263.07</v>
      </c>
      <c r="K26" s="8">
        <v>70</v>
      </c>
      <c r="L26" s="8">
        <f>J26*K26</f>
        <v>12898414.9</v>
      </c>
      <c r="M26" s="8">
        <f>I26*6.8</f>
        <v>3915589.6</v>
      </c>
      <c r="N26" s="9"/>
      <c r="O26" s="9"/>
      <c r="P26" s="9"/>
      <c r="Q26" s="9"/>
      <c r="R26" s="9"/>
    </row>
    <row r="27" spans="1:18" x14ac:dyDescent="0.3">
      <c r="A27" s="5">
        <v>25</v>
      </c>
      <c r="B27" s="5">
        <v>1</v>
      </c>
      <c r="C27" s="5">
        <v>310832464</v>
      </c>
      <c r="D27" s="6" t="d">
        <v>2019-10-25</v>
      </c>
      <c r="E27" s="5" t="s">
        <v>27</v>
      </c>
      <c r="F27" s="5" t="s">
        <v>13</v>
      </c>
      <c r="G27" s="7">
        <v>17019990</v>
      </c>
      <c r="H27" s="7" t="s">
        <v>2</v>
      </c>
      <c r="I27" s="5">
        <v>469494</v>
      </c>
      <c r="J27" s="5">
        <v>150238.37</v>
      </c>
      <c r="K27" s="8">
        <v>70</v>
      </c>
      <c r="L27" s="8">
        <f>J27*K27</f>
        <v>10516685.9</v>
      </c>
      <c r="M27" s="8">
        <f>I27*6.8</f>
        <v>3192559.1999999997</v>
      </c>
      <c r="N27" s="1"/>
      <c r="O27" s="1"/>
      <c r="P27" s="9"/>
      <c r="Q27" s="9"/>
      <c r="R27" s="9"/>
    </row>
    <row r="28" spans="1:18" x14ac:dyDescent="0.3">
      <c r="A28" s="5">
        <v>18</v>
      </c>
      <c r="B28" s="5">
        <v>2</v>
      </c>
      <c r="C28" s="5">
        <v>310832880</v>
      </c>
      <c r="D28" s="6" t="d">
        <v>2019-11-19</v>
      </c>
      <c r="E28" s="5" t="s">
        <v>20</v>
      </c>
      <c r="F28" s="5" t="s">
        <v>13</v>
      </c>
      <c r="G28" s="7">
        <v>17019990</v>
      </c>
      <c r="H28" s="7" t="s">
        <v>2</v>
      </c>
      <c r="I28" s="5">
        <v>136213</v>
      </c>
      <c r="J28" s="5">
        <v>43588.42</v>
      </c>
      <c r="K28" s="8">
        <v>70</v>
      </c>
      <c r="L28" s="8">
        <f>J28*K28</f>
        <v>3051189.4</v>
      </c>
      <c r="M28" s="8">
        <f>I28*6.8</f>
        <v>926248.4</v>
      </c>
      <c r="N28" s="9"/>
      <c r="O28" s="9"/>
      <c r="P28" s="9"/>
      <c r="Q28" s="9"/>
      <c r="R28" s="9"/>
    </row>
    <row r="29" spans="1:18" x14ac:dyDescent="0.3">
      <c r="A29" s="5">
        <v>22</v>
      </c>
      <c r="B29" s="5">
        <v>2</v>
      </c>
      <c r="C29" s="5">
        <v>310832983</v>
      </c>
      <c r="D29" s="6" t="d">
        <v>2019-11-25</v>
      </c>
      <c r="E29" s="5" t="s">
        <v>53</v>
      </c>
      <c r="F29" s="5" t="s">
        <v>13</v>
      </c>
      <c r="G29" s="7">
        <v>17019990</v>
      </c>
      <c r="H29" s="7" t="s">
        <v>2</v>
      </c>
      <c r="I29" s="5">
        <v>220427</v>
      </c>
      <c r="J29" s="5">
        <v>70536.94</v>
      </c>
      <c r="K29" s="8">
        <v>70</v>
      </c>
      <c r="L29" s="8">
        <f>J29*K29</f>
        <v>4937585.8</v>
      </c>
      <c r="M29" s="8">
        <f>I29*6.8</f>
        <v>1498903.5999999999</v>
      </c>
      <c r="N29" s="9"/>
      <c r="O29" s="9"/>
      <c r="P29" s="9"/>
      <c r="Q29" s="9"/>
      <c r="R29" s="9"/>
    </row>
    <row r="30" spans="1:18" x14ac:dyDescent="0.3">
      <c r="A30" s="5">
        <v>4</v>
      </c>
      <c r="B30" s="5">
        <v>2</v>
      </c>
      <c r="C30" s="5">
        <v>310829658</v>
      </c>
      <c r="D30" s="6" t="d">
        <v>2019-06-14</v>
      </c>
      <c r="E30" s="5" t="s">
        <v>30</v>
      </c>
      <c r="F30" s="5" t="s">
        <v>31</v>
      </c>
      <c r="G30" s="7">
        <v>17019990</v>
      </c>
      <c r="H30" s="7" t="s">
        <v>2</v>
      </c>
      <c r="I30" s="5">
        <v>32388</v>
      </c>
      <c r="J30" s="5">
        <v>10364.43</v>
      </c>
      <c r="K30" s="8">
        <v>70</v>
      </c>
      <c r="L30" s="8">
        <f>J30*K30</f>
        <v>725510.1</v>
      </c>
      <c r="M30" s="8">
        <f>I30*6.8</f>
        <v>220238.4</v>
      </c>
      <c r="N30" s="10" t="s">
        <v>47</v>
      </c>
      <c r="O30" s="10"/>
      <c r="P30" s="9"/>
      <c r="Q30" s="9"/>
      <c r="R30" s="9"/>
    </row>
    <row r="31" spans="1:18" x14ac:dyDescent="0.3">
      <c r="A31" s="7"/>
      <c r="B31" s="7"/>
      <c r="C31" s="7"/>
      <c r="D31" s="7"/>
      <c r="E31" s="7"/>
      <c r="F31" s="7"/>
      <c r="G31" s="7"/>
      <c r="H31" s="7"/>
      <c r="I31" s="11">
        <f>SUM(I2:I30)</f>
        <v>5163418</v>
      </c>
      <c r="J31" s="11">
        <f>SUM(J2:J30)</f>
        <v>1652298.3499999999</v>
      </c>
      <c r="K31" s="11"/>
      <c r="L31" s="11">
        <f>SUM(L2:L30)</f>
        <v>115660884.50000001</v>
      </c>
      <c r="M31" s="11">
        <f>SUM(M2:M30)</f>
        <v>35111242.399999991</v>
      </c>
      <c r="N31" s="9"/>
      <c r="O31" s="9"/>
      <c r="P31" s="9"/>
      <c r="Q31" s="9"/>
      <c r="R31" s="9"/>
    </row>
    <row r="32" spans="1:18" x14ac:dyDescent="0.3">
      <c r="L32" s="2"/>
    </row>
  </sheetData>
  <sortState ref="A2:M30">
    <sortCondition ref="F2:F30"/>
    <sortCondition ref="D2:D30"/>
    <sortCondition ref="E2:E30"/>
  </sortState>
  <mergeCells count="1">
    <mergeCell ref="N30:O30"/>
  </mergeCells>
  <pageMargins left="0.25" right="0.25" top="0.75" bottom="0.75" header="0.3" footer="0.3"/>
  <pageSetup paperSize="9" scale="87" orientation="landscape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aro_details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hardik sottany</cp:lastModifiedBy>
  <cp:lastPrinted>2019-12-13T09:36:56Z</cp:lastPrinted>
  <dcterms:created xsi:type="dcterms:W3CDTF">2019-12-13T05:30:30Z</dcterms:created>
  <dcterms:modified xsi:type="dcterms:W3CDTF">2019-12-13T09:39:06Z</dcterms:modified>
</cp:coreProperties>
</file>