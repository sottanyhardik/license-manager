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Developer/lmanagement/"/>
    </mc:Choice>
  </mc:AlternateContent>
  <xr:revisionPtr revIDLastSave="0" documentId="13_ncr:1_{E748908C-F7D8-E644-9D1B-D9086D400CD0}" xr6:coauthVersionLast="47" xr6:coauthVersionMax="47" xr10:uidLastSave="{00000000-0000-0000-0000-000000000000}"/>
  <bookViews>
    <workbookView xWindow="1100" yWindow="820" windowWidth="28040" windowHeight="17380" xr2:uid="{4078C117-C5CF-A143-A716-0F26E3B2FBA5}"/>
  </bookViews>
  <sheets>
    <sheet name="Sheet1" sheetId="1" r:id="rId1"/>
    <sheet name="Sheet2" sheetId="2" r:id="rId2"/>
  </sheets>
  <definedNames>
    <definedName name="_xlnm._FilterDatabase" localSheetId="1" hidden="1">Sheet2!$A$1:$H$1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1" l="1"/>
  <c r="E50" i="1"/>
  <c r="D50" i="1"/>
  <c r="F47" i="1"/>
  <c r="E47" i="1"/>
  <c r="D47" i="1"/>
  <c r="F44" i="1"/>
  <c r="E44" i="1"/>
  <c r="D44" i="1"/>
  <c r="F31" i="1"/>
  <c r="E31" i="1"/>
  <c r="D31" i="1"/>
  <c r="F27" i="1"/>
  <c r="E27" i="1"/>
  <c r="D27" i="1"/>
  <c r="F21" i="1"/>
  <c r="E21" i="1"/>
  <c r="D21" i="1"/>
  <c r="F36" i="2"/>
  <c r="E36" i="2"/>
  <c r="D36" i="2"/>
  <c r="F34" i="2"/>
  <c r="E34" i="2"/>
  <c r="D34" i="2"/>
  <c r="F32" i="2"/>
  <c r="E32" i="2"/>
  <c r="D32" i="2"/>
  <c r="F20" i="2"/>
  <c r="E20" i="2"/>
  <c r="D20" i="2"/>
  <c r="D37" i="2" s="1"/>
  <c r="F17" i="2"/>
  <c r="E17" i="2"/>
  <c r="D17" i="2"/>
  <c r="F12" i="2"/>
  <c r="F37" i="2" s="1"/>
  <c r="E12" i="2"/>
  <c r="E37" i="2" s="1"/>
  <c r="D12" i="2"/>
  <c r="E7" i="1"/>
  <c r="E6" i="1"/>
  <c r="E5" i="1"/>
  <c r="E4" i="1"/>
  <c r="E3" i="1"/>
  <c r="V7" i="1"/>
  <c r="V6" i="1"/>
  <c r="V5" i="1"/>
  <c r="V4" i="1"/>
  <c r="D8" i="1"/>
  <c r="G8" i="1"/>
  <c r="H8" i="1"/>
  <c r="J8" i="1"/>
  <c r="K8" i="1"/>
  <c r="L8" i="1"/>
  <c r="N8" i="1"/>
  <c r="O8" i="1"/>
  <c r="P8" i="1"/>
  <c r="R8" i="1"/>
  <c r="S8" i="1"/>
  <c r="T8" i="1"/>
  <c r="U8" i="1"/>
  <c r="W8" i="1"/>
  <c r="Y8" i="1"/>
  <c r="AA8" i="1"/>
  <c r="AB8" i="1"/>
  <c r="AC8" i="1"/>
  <c r="X6" i="1"/>
  <c r="X8" i="1" s="1"/>
  <c r="Z7" i="1"/>
  <c r="Z5" i="1"/>
  <c r="Q3" i="1"/>
  <c r="Q4" i="1"/>
  <c r="Q5" i="1"/>
  <c r="Q7" i="1"/>
  <c r="Q6" i="1"/>
  <c r="AD7" i="1"/>
  <c r="AD6" i="1"/>
  <c r="M7" i="1"/>
  <c r="M6" i="1"/>
  <c r="I7" i="1"/>
  <c r="F6" i="1"/>
  <c r="I6" i="1" s="1"/>
  <c r="AD5" i="1"/>
  <c r="M5" i="1"/>
  <c r="I5" i="1"/>
  <c r="I4" i="1"/>
  <c r="I3" i="1"/>
  <c r="M4" i="1"/>
  <c r="V3" i="1"/>
  <c r="M3" i="1"/>
  <c r="F52" i="1" l="1"/>
  <c r="Z6" i="1"/>
  <c r="D52" i="1"/>
  <c r="E52" i="1"/>
  <c r="E8" i="1"/>
  <c r="I8" i="1"/>
  <c r="Z8" i="1"/>
  <c r="AD8" i="1"/>
  <c r="F8" i="1"/>
  <c r="M8" i="1"/>
  <c r="Q8" i="1"/>
  <c r="V8" i="1"/>
</calcChain>
</file>

<file path=xl/sharedStrings.xml><?xml version="1.0" encoding="utf-8"?>
<sst xmlns="http://schemas.openxmlformats.org/spreadsheetml/2006/main" count="236" uniqueCount="72">
  <si>
    <t>DFIA No</t>
  </si>
  <si>
    <t>DFIA Dt</t>
  </si>
  <si>
    <t>0910049060</t>
  </si>
  <si>
    <t>27-09-2011</t>
  </si>
  <si>
    <t xml:space="preserve">AGRI GOLD </t>
  </si>
  <si>
    <t>Party</t>
  </si>
  <si>
    <t>Total $</t>
  </si>
  <si>
    <t>Bal $</t>
  </si>
  <si>
    <t>Relevant Fats &amp; Oils</t>
  </si>
  <si>
    <t xml:space="preserve">Relevant Food Additives </t>
  </si>
  <si>
    <t>Total QTY</t>
  </si>
  <si>
    <t>Debited $</t>
  </si>
  <si>
    <t>Debited Qty</t>
  </si>
  <si>
    <t>Balance Qty</t>
  </si>
  <si>
    <t>Polypropylene</t>
  </si>
  <si>
    <t>Paper &amp; Paper</t>
  </si>
  <si>
    <t>0910054637</t>
  </si>
  <si>
    <t>31-12-2012</t>
  </si>
  <si>
    <t>SS FOOD</t>
  </si>
  <si>
    <t>0910051294</t>
  </si>
  <si>
    <t>15-02-2012</t>
  </si>
  <si>
    <t>USHODAYA</t>
  </si>
  <si>
    <t>Formers</t>
  </si>
  <si>
    <t>0910052314</t>
  </si>
  <si>
    <t>25-04-2012</t>
  </si>
  <si>
    <t>Sanitation And Cleaning Chemicals</t>
  </si>
  <si>
    <t>Soda Ash</t>
  </si>
  <si>
    <t>0310738370</t>
  </si>
  <si>
    <t>20-06-2013</t>
  </si>
  <si>
    <t>ADF FOODS</t>
  </si>
  <si>
    <t>CIF FC</t>
  </si>
  <si>
    <t>CIF INR</t>
  </si>
  <si>
    <t>9537122</t>
  </si>
  <si>
    <t>02-05-2017</t>
  </si>
  <si>
    <t>03-05-2017</t>
  </si>
  <si>
    <t>9541360</t>
  </si>
  <si>
    <t>Micro International</t>
  </si>
  <si>
    <t>Ashok Kumar Agarwal</t>
  </si>
  <si>
    <t>8463354</t>
  </si>
  <si>
    <t>07-02-2017</t>
  </si>
  <si>
    <t>15-11-2016</t>
  </si>
  <si>
    <t>7459034</t>
  </si>
  <si>
    <t>N.R.Enterprises</t>
  </si>
  <si>
    <t>ITEM</t>
  </si>
  <si>
    <t>DFIA</t>
  </si>
  <si>
    <t>formers</t>
  </si>
  <si>
    <t>Date</t>
  </si>
  <si>
    <t>BILL OF ENTRY</t>
  </si>
  <si>
    <t>Quantity</t>
  </si>
  <si>
    <t>Company</t>
  </si>
  <si>
    <t>paper &amp; paper board</t>
  </si>
  <si>
    <t>Brij Raj Holdings</t>
  </si>
  <si>
    <t>Jain Exim</t>
  </si>
  <si>
    <t>Overseas Polymers Pvt Ltd</t>
  </si>
  <si>
    <t>Indian Trading Corporation</t>
  </si>
  <si>
    <t>Surabhi Enterprises,</t>
  </si>
  <si>
    <t>Hetal Chem Impex</t>
  </si>
  <si>
    <t>Indian Chemical Corporation</t>
  </si>
  <si>
    <t>N K Proteins Private Limited</t>
  </si>
  <si>
    <t>Raj Paper Traders</t>
  </si>
  <si>
    <t>Sanitation and cleaning chemicals</t>
  </si>
  <si>
    <t>formers Total</t>
  </si>
  <si>
    <t>paper &amp; paper board Total</t>
  </si>
  <si>
    <t>Relevant Fats &amp; Oils Total</t>
  </si>
  <si>
    <t>Relevant Food Additives  Total</t>
  </si>
  <si>
    <t>Sanitation and cleaning chemicals Total</t>
  </si>
  <si>
    <t>Soda Ash Total</t>
  </si>
  <si>
    <t>Grand Total</t>
  </si>
  <si>
    <t>Paper &amp; Paper Board Total</t>
  </si>
  <si>
    <t>Formers Total</t>
  </si>
  <si>
    <t>Paper &amp; Paper Board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</si>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</sst>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\-yyyy;@"/>
    <numFmt numFmtId="165" formatCode="0000000000"/>
    <numFmt numFmtId="166" formatCode="0.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Helvetica"/>
      <family val="2"/>
    </font>
    <font>
      <sz val="8"/>
      <color theme="1"/>
      <name val="Helvetica"/>
      <family val="2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43" fontId="0" fillId="0" borderId="0" xfId="0" applyNumberFormat="1"/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quotePrefix="1" applyFont="1" applyBorder="1" applyAlignment="1">
      <alignment horizontal="center"/>
    </xf>
    <xf numFmtId="43" fontId="0" fillId="0" borderId="1" xfId="1" applyFont="1" applyBorder="1"/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quotePrefix="1" applyFont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2" fillId="0" borderId="1" xfId="0" applyNumberFormat="1" applyFont="1" applyBorder="1"/>
    <xf numFmtId="0" fontId="2" fillId="0" borderId="2" xfId="0" applyFont="1" applyBorder="1" applyAlignment="1">
      <alignment horizontal="center" vertical="center"/>
    </xf>
    <xf numFmtId="43" fontId="0" fillId="0" borderId="2" xfId="1" applyFont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3" fontId="0" fillId="0" borderId="6" xfId="1" applyFont="1" applyBorder="1"/>
    <xf numFmtId="43" fontId="0" fillId="0" borderId="7" xfId="1" applyFont="1" applyBorder="1"/>
    <xf numFmtId="43" fontId="2" fillId="0" borderId="8" xfId="0" applyNumberFormat="1" applyFont="1" applyBorder="1"/>
    <xf numFmtId="43" fontId="2" fillId="0" borderId="9" xfId="0" applyNumberFormat="1" applyFont="1" applyBorder="1"/>
    <xf numFmtId="43" fontId="2" fillId="0" borderId="10" xfId="0" applyNumberFormat="1" applyFont="1" applyBorder="1"/>
    <xf numFmtId="0" fontId="0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3" fontId="0" fillId="0" borderId="0" xfId="1" applyFont="1" applyAlignment="1"/>
    <xf numFmtId="0" fontId="0" fillId="0" borderId="0" xfId="0" applyAlignment="1"/>
    <xf numFmtId="0" fontId="4" fillId="0" borderId="0" xfId="0" applyFont="1" applyAlignment="1"/>
    <xf numFmtId="166" fontId="0" fillId="0" borderId="0" xfId="0" applyNumberFormat="1" applyAlignment="1"/>
    <xf numFmtId="0" fontId="6" fillId="0" borderId="1" xfId="0" applyFont="1" applyBorder="1" applyAlignment="1">
      <alignment vertical="top"/>
    </xf>
    <xf numFmtId="43" fontId="6" fillId="0" borderId="1" xfId="1" applyFont="1" applyFill="1" applyBorder="1" applyAlignment="1">
      <alignment horizontal="left" vertical="top"/>
    </xf>
    <xf numFmtId="43" fontId="6" fillId="0" borderId="1" xfId="1" applyFont="1" applyFill="1" applyBorder="1" applyAlignment="1">
      <alignment vertical="top"/>
    </xf>
    <xf numFmtId="43" fontId="6" fillId="0" borderId="1" xfId="1" applyFont="1" applyFill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43" fontId="5" fillId="0" borderId="1" xfId="1" applyFont="1" applyFill="1" applyBorder="1" applyAlignment="1">
      <alignment horizontal="left" vertical="top" shrinkToFit="1"/>
    </xf>
    <xf numFmtId="43" fontId="5" fillId="0" borderId="1" xfId="1" applyFont="1" applyFill="1" applyBorder="1" applyAlignment="1">
      <alignment vertical="top" shrinkToFit="1"/>
    </xf>
    <xf numFmtId="43" fontId="5" fillId="0" borderId="1" xfId="1" applyFont="1" applyFill="1" applyBorder="1" applyAlignment="1">
      <alignment horizontal="center" vertical="top" shrinkToFit="1"/>
    </xf>
    <xf numFmtId="0" fontId="8" fillId="0" borderId="1" xfId="0" applyFont="1" applyBorder="1" applyAlignment="1">
      <alignment vertical="top"/>
    </xf>
    <xf numFmtId="43" fontId="5" fillId="0" borderId="1" xfId="1" applyFont="1" applyBorder="1" applyAlignment="1">
      <alignment vertical="top" shrinkToFit="1"/>
    </xf>
    <xf numFmtId="43" fontId="5" fillId="0" borderId="1" xfId="1" applyFont="1" applyBorder="1" applyAlignment="1">
      <alignment horizontal="center" vertical="top" shrinkToFit="1"/>
    </xf>
    <xf numFmtId="164" fontId="5" fillId="0" borderId="1" xfId="0" applyNumberFormat="1" applyFont="1" applyBorder="1" applyAlignment="1">
      <alignment horizontal="left" vertical="top" shrinkToFit="1"/>
    </xf>
    <xf numFmtId="43" fontId="5" fillId="0" borderId="1" xfId="1" applyFont="1" applyBorder="1" applyAlignment="1">
      <alignment horizontal="right" vertical="top" shrinkToFit="1"/>
    </xf>
    <xf numFmtId="0" fontId="7" fillId="0" borderId="1" xfId="0" quotePrefix="1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43" fontId="7" fillId="0" borderId="1" xfId="1" applyFont="1" applyBorder="1"/>
    <xf numFmtId="0" fontId="6" fillId="0" borderId="1" xfId="0" applyFont="1" applyBorder="1" applyAlignment="1">
      <alignment horizontal="left" vertical="top"/>
    </xf>
    <xf numFmtId="0" fontId="7" fillId="0" borderId="1" xfId="0" quotePrefix="1" applyFont="1" applyBorder="1" applyAlignment="1">
      <alignment horizontal="left"/>
    </xf>
    <xf numFmtId="0" fontId="0" fillId="0" borderId="0" xfId="0" applyAlignment="1">
      <alignment horizontal="left"/>
    </xf>
    <xf numFmtId="1" fontId="5" fillId="0" borderId="1" xfId="0" applyNumberFormat="1" applyFont="1" applyBorder="1" applyAlignment="1">
      <alignment horizontal="left" vertical="top" shrinkToFit="1"/>
    </xf>
    <xf numFmtId="0" fontId="9" fillId="0" borderId="1" xfId="0" applyFont="1" applyBorder="1" applyAlignment="1">
      <alignment vertical="center"/>
    </xf>
    <xf numFmtId="43" fontId="5" fillId="0" borderId="1" xfId="1" applyFont="1" applyBorder="1" applyAlignment="1">
      <alignment horizontal="left" vertical="top"/>
    </xf>
    <xf numFmtId="0" fontId="9" fillId="0" borderId="1" xfId="0" applyFont="1" applyBorder="1" applyAlignment="1">
      <alignment vertical="top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top"/>
    </xf>
    <xf numFmtId="165" fontId="5" fillId="0" borderId="1" xfId="0" applyNumberFormat="1" applyFont="1" applyBorder="1" applyAlignment="1">
      <alignment horizontal="center" vertical="top" shrinkToFit="1"/>
    </xf>
    <xf numFmtId="165" fontId="5" fillId="0" borderId="1" xfId="0" quotePrefix="1" applyNumberFormat="1" applyFont="1" applyBorder="1" applyAlignment="1">
      <alignment horizontal="center" vertical="top" shrinkToFit="1"/>
    </xf>
    <xf numFmtId="43" fontId="10" fillId="0" borderId="1" xfId="1" applyFont="1" applyBorder="1" applyAlignment="1">
      <alignment horizontal="center" vertical="top" shrinkToFit="1"/>
    </xf>
    <xf numFmtId="43" fontId="10" fillId="0" borderId="1" xfId="1" applyFont="1" applyBorder="1" applyAlignment="1">
      <alignment horizontal="left" vertical="top"/>
    </xf>
    <xf numFmtId="43" fontId="10" fillId="0" borderId="1" xfId="1" applyFont="1" applyFill="1" applyBorder="1" applyAlignment="1">
      <alignment vertical="top" shrinkToFit="1"/>
    </xf>
    <xf numFmtId="43" fontId="10" fillId="0" borderId="1" xfId="1" applyFont="1" applyFill="1" applyBorder="1" applyAlignment="1">
      <alignment horizontal="center" vertical="top" shrinkToFit="1"/>
    </xf>
    <xf numFmtId="43" fontId="9" fillId="0" borderId="1" xfId="1" applyFont="1" applyBorder="1" applyAlignment="1">
      <alignment horizontal="center"/>
    </xf>
    <xf numFmtId="43" fontId="9" fillId="0" borderId="1" xfId="1" applyFont="1" applyBorder="1"/>
    <xf numFmtId="43" fontId="10" fillId="0" borderId="1" xfId="1" applyFont="1" applyBorder="1" applyAlignment="1">
      <alignment vertical="top" shrinkToFit="1"/>
    </xf>
    <xf numFmtId="0" fontId="6" fillId="2" borderId="1" xfId="0" applyFont="1" applyFill="1" applyBorder="1" applyAlignment="1">
      <alignment vertical="top"/>
    </xf>
    <xf numFmtId="43" fontId="10" fillId="2" borderId="1" xfId="1" applyFont="1" applyFill="1" applyBorder="1" applyAlignment="1">
      <alignment horizontal="center" vertical="top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F99B-1A7D-7B49-9036-8EBFF91DECE9}">
  <dimension ref="A1:AD52"/>
  <sheetViews>
    <sheetView tabSelected="1" topLeftCell="A3" zoomScale="150" zoomScaleNormal="150" workbookViewId="0">
      <selection activeCell="A3" sqref="A3"/>
    </sheetView>
  </sheetViews>
  <sheetFormatPr baseColWidth="10" defaultRowHeight="16" x14ac:dyDescent="0.2"/>
  <cols>
    <col min="1" max="1" width="13" style="2" bestFit="1" customWidth="1"/>
    <col min="2" max="2" width="17" style="2" bestFit="1" customWidth="1"/>
    <col min="3" max="3" width="36.6640625" style="2" bestFit="1" customWidth="1"/>
    <col min="4" max="4" width="13.5" bestFit="1" customWidth="1"/>
    <col min="5" max="5" width="13.6640625" bestFit="1" customWidth="1"/>
    <col min="6" max="6" width="15.1640625" bestFit="1" customWidth="1"/>
    <col min="7" max="7" width="12.5" bestFit="1" customWidth="1"/>
    <col min="8" max="8" width="26" bestFit="1" customWidth="1"/>
    <col min="9" max="9" width="11.1640625" bestFit="1" customWidth="1"/>
    <col min="10" max="12" width="12.5" bestFit="1" customWidth="1"/>
    <col min="13" max="13" width="11.1640625" bestFit="1" customWidth="1"/>
    <col min="14" max="14" width="10.83203125" bestFit="1" customWidth="1"/>
    <col min="15" max="15" width="11.5" bestFit="1" customWidth="1"/>
    <col min="16" max="16" width="9.83203125" bestFit="1" customWidth="1"/>
    <col min="17" max="17" width="11.1640625" bestFit="1" customWidth="1"/>
    <col min="18" max="18" width="14.83203125" bestFit="1" customWidth="1"/>
    <col min="19" max="20" width="12.5" bestFit="1" customWidth="1"/>
    <col min="21" max="21" width="10.83203125" bestFit="1" customWidth="1"/>
    <col min="22" max="23" width="12.5" bestFit="1" customWidth="1"/>
    <col min="24" max="24" width="11.5" bestFit="1" customWidth="1"/>
    <col min="25" max="25" width="10.83203125" bestFit="1" customWidth="1"/>
    <col min="26" max="26" width="11.1640625" bestFit="1" customWidth="1"/>
    <col min="27" max="29" width="12.5" bestFit="1" customWidth="1"/>
    <col min="30" max="30" width="11.1640625" bestFit="1" customWidth="1"/>
  </cols>
  <sheetData>
    <row r="1" spans="1:30" x14ac:dyDescent="0.2">
      <c r="A1" s="4"/>
      <c r="B1" s="4"/>
      <c r="C1" s="4"/>
      <c r="D1" s="4"/>
      <c r="E1" s="23"/>
      <c r="F1" s="25" t="s">
        <v>8</v>
      </c>
      <c r="G1" s="26"/>
      <c r="H1" s="26"/>
      <c r="I1" s="27"/>
      <c r="J1" s="25" t="s">
        <v>9</v>
      </c>
      <c r="K1" s="26"/>
      <c r="L1" s="26"/>
      <c r="M1" s="27"/>
      <c r="N1" s="25" t="s">
        <v>25</v>
      </c>
      <c r="O1" s="26"/>
      <c r="P1" s="26"/>
      <c r="Q1" s="27"/>
      <c r="R1" s="24" t="s">
        <v>14</v>
      </c>
      <c r="S1" s="28" t="s">
        <v>15</v>
      </c>
      <c r="T1" s="29"/>
      <c r="U1" s="29"/>
      <c r="V1" s="30"/>
      <c r="W1" s="28" t="s">
        <v>26</v>
      </c>
      <c r="X1" s="29"/>
      <c r="Y1" s="29"/>
      <c r="Z1" s="30"/>
      <c r="AA1" s="28" t="s">
        <v>22</v>
      </c>
      <c r="AB1" s="29"/>
      <c r="AC1" s="29"/>
      <c r="AD1" s="30"/>
    </row>
    <row r="2" spans="1:30" x14ac:dyDescent="0.2">
      <c r="A2" s="5" t="s">
        <v>0</v>
      </c>
      <c r="B2" s="5" t="s">
        <v>1</v>
      </c>
      <c r="C2" s="5" t="s">
        <v>5</v>
      </c>
      <c r="D2" s="5" t="s">
        <v>6</v>
      </c>
      <c r="E2" s="14" t="s">
        <v>7</v>
      </c>
      <c r="F2" s="16" t="s">
        <v>10</v>
      </c>
      <c r="G2" s="5" t="s">
        <v>12</v>
      </c>
      <c r="H2" s="5" t="s">
        <v>11</v>
      </c>
      <c r="I2" s="17" t="s">
        <v>13</v>
      </c>
      <c r="J2" s="16" t="s">
        <v>10</v>
      </c>
      <c r="K2" s="5" t="s">
        <v>12</v>
      </c>
      <c r="L2" s="5" t="s">
        <v>11</v>
      </c>
      <c r="M2" s="17" t="s">
        <v>13</v>
      </c>
      <c r="N2" s="16" t="s">
        <v>10</v>
      </c>
      <c r="O2" s="5" t="s">
        <v>12</v>
      </c>
      <c r="P2" s="5" t="s">
        <v>11</v>
      </c>
      <c r="Q2" s="17" t="s">
        <v>13</v>
      </c>
      <c r="R2" s="16" t="s">
        <v>10</v>
      </c>
      <c r="S2" s="16" t="s">
        <v>10</v>
      </c>
      <c r="T2" s="5" t="s">
        <v>12</v>
      </c>
      <c r="U2" s="5" t="s">
        <v>11</v>
      </c>
      <c r="V2" s="17" t="s">
        <v>13</v>
      </c>
      <c r="W2" s="16" t="s">
        <v>10</v>
      </c>
      <c r="X2" s="5" t="s">
        <v>12</v>
      </c>
      <c r="Y2" s="5" t="s">
        <v>11</v>
      </c>
      <c r="Z2" s="17" t="s">
        <v>13</v>
      </c>
      <c r="AA2" s="16" t="s">
        <v>10</v>
      </c>
      <c r="AB2" s="5" t="s">
        <v>12</v>
      </c>
      <c r="AC2" s="5" t="s">
        <v>11</v>
      </c>
      <c r="AD2" s="17" t="s">
        <v>13</v>
      </c>
    </row>
    <row r="3" spans="1:30" x14ac:dyDescent="0.2">
      <c r="A3" s="6" t="s">
        <v>71</v>
      </c>
      <c r="B3" s="6" t="s">
        <v>3</v>
      </c>
      <c r="C3" s="6" t="s">
        <v>4</v>
      </c>
      <c r="D3" s="7">
        <v>52199.14</v>
      </c>
      <c r="E3" s="15">
        <f>D3-SUM(H3,L3,P3,U3,Y3,AC3)</f>
        <v>9527.14</v>
      </c>
      <c r="F3" s="18">
        <v>14590</v>
      </c>
      <c r="G3" s="7"/>
      <c r="H3" s="7"/>
      <c r="I3" s="19">
        <f>F3-G3</f>
        <v>14590</v>
      </c>
      <c r="J3" s="18">
        <v>5135</v>
      </c>
      <c r="K3" s="7">
        <v>5080</v>
      </c>
      <c r="L3" s="7">
        <v>42672</v>
      </c>
      <c r="M3" s="19">
        <f>J3-K3</f>
        <v>55</v>
      </c>
      <c r="N3" s="18">
        <v>1167.1600000000001</v>
      </c>
      <c r="O3" s="7"/>
      <c r="P3" s="7"/>
      <c r="Q3" s="19">
        <f>N3-O3</f>
        <v>1167.1600000000001</v>
      </c>
      <c r="R3" s="18">
        <v>519.75</v>
      </c>
      <c r="S3" s="18">
        <v>2190.8200000000002</v>
      </c>
      <c r="T3" s="8"/>
      <c r="U3" s="8"/>
      <c r="V3" s="19">
        <f>S3-T3</f>
        <v>2190.8200000000002</v>
      </c>
      <c r="W3" s="18"/>
      <c r="X3" s="8"/>
      <c r="Y3" s="8"/>
      <c r="Z3" s="19"/>
      <c r="AA3" s="18"/>
      <c r="AB3" s="8"/>
      <c r="AC3" s="8"/>
      <c r="AD3" s="19"/>
    </row>
    <row r="4" spans="1:30" x14ac:dyDescent="0.2">
      <c r="A4" s="9" t="s">
        <v>16</v>
      </c>
      <c r="B4" s="9" t="s">
        <v>17</v>
      </c>
      <c r="C4" s="10" t="s">
        <v>18</v>
      </c>
      <c r="D4" s="7">
        <v>85531.95</v>
      </c>
      <c r="E4" s="15">
        <f>D4-SUM(H4,L4,P4,U4,Y4,AC4)</f>
        <v>40.94999999999709</v>
      </c>
      <c r="F4" s="18">
        <v>32670</v>
      </c>
      <c r="G4" s="7"/>
      <c r="H4" s="7"/>
      <c r="I4" s="19">
        <f>F4-G4</f>
        <v>32670</v>
      </c>
      <c r="J4" s="18">
        <v>11499.84</v>
      </c>
      <c r="K4" s="7">
        <v>11272</v>
      </c>
      <c r="L4" s="7">
        <v>85491</v>
      </c>
      <c r="M4" s="19">
        <f>J4-K4</f>
        <v>227.84000000000015</v>
      </c>
      <c r="N4" s="18">
        <v>2613.6</v>
      </c>
      <c r="O4" s="7"/>
      <c r="P4" s="7"/>
      <c r="Q4" s="19">
        <f>N4-O4</f>
        <v>2613.6</v>
      </c>
      <c r="R4" s="18">
        <v>11986.68</v>
      </c>
      <c r="S4" s="18">
        <v>196950</v>
      </c>
      <c r="T4" s="7"/>
      <c r="U4" s="7"/>
      <c r="V4" s="19">
        <f t="shared" ref="V4:V7" si="0">S4-T4</f>
        <v>196950</v>
      </c>
      <c r="W4" s="18"/>
      <c r="X4" s="7"/>
      <c r="Y4" s="7"/>
      <c r="Z4" s="19"/>
      <c r="AA4" s="18"/>
      <c r="AB4" s="7"/>
      <c r="AC4" s="7"/>
      <c r="AD4" s="19"/>
    </row>
    <row r="5" spans="1:30" s="1" customFormat="1" x14ac:dyDescent="0.2">
      <c r="A5" s="11" t="s">
        <v>19</v>
      </c>
      <c r="B5" s="11" t="s">
        <v>20</v>
      </c>
      <c r="C5" s="12" t="s">
        <v>21</v>
      </c>
      <c r="D5" s="7">
        <v>653552.5</v>
      </c>
      <c r="E5" s="15">
        <f>D5-SUM(H5,L5,P5,U5,Y5,AC5)</f>
        <v>215506.5</v>
      </c>
      <c r="F5" s="18">
        <v>79844.72</v>
      </c>
      <c r="G5" s="7">
        <v>77840</v>
      </c>
      <c r="H5" s="7">
        <v>56375</v>
      </c>
      <c r="I5" s="19">
        <f>F5-G5</f>
        <v>2004.7200000000012</v>
      </c>
      <c r="J5" s="18">
        <v>28105.34</v>
      </c>
      <c r="K5" s="7">
        <v>28105</v>
      </c>
      <c r="L5" s="7">
        <v>229238</v>
      </c>
      <c r="M5" s="19">
        <f>J5-K5</f>
        <v>0.34000000000014552</v>
      </c>
      <c r="N5" s="18">
        <v>6387.57</v>
      </c>
      <c r="O5" s="7"/>
      <c r="P5" s="7"/>
      <c r="Q5" s="19">
        <f>N5-O5</f>
        <v>6387.57</v>
      </c>
      <c r="R5" s="18">
        <v>3353.46</v>
      </c>
      <c r="S5" s="18">
        <v>39906.379999999997</v>
      </c>
      <c r="T5" s="7">
        <v>36683</v>
      </c>
      <c r="U5" s="7">
        <v>23844</v>
      </c>
      <c r="V5" s="19">
        <f t="shared" si="0"/>
        <v>3223.3799999999974</v>
      </c>
      <c r="W5" s="18">
        <v>50415.07</v>
      </c>
      <c r="X5" s="7"/>
      <c r="Y5" s="7"/>
      <c r="Z5" s="19">
        <f>W5-X5</f>
        <v>50415.07</v>
      </c>
      <c r="AA5" s="18">
        <v>50415.07</v>
      </c>
      <c r="AB5" s="7">
        <v>50000</v>
      </c>
      <c r="AC5" s="7">
        <v>128589</v>
      </c>
      <c r="AD5" s="19">
        <f>AA5-AB5</f>
        <v>415.06999999999971</v>
      </c>
    </row>
    <row r="6" spans="1:30" s="1" customFormat="1" x14ac:dyDescent="0.2">
      <c r="A6" s="11" t="s">
        <v>23</v>
      </c>
      <c r="B6" s="11" t="s">
        <v>24</v>
      </c>
      <c r="C6" s="12" t="s">
        <v>21</v>
      </c>
      <c r="D6" s="7">
        <v>1381445.11</v>
      </c>
      <c r="E6" s="15">
        <f>D6-SUM(H6,L6,P6,U6,Y6,AC6)</f>
        <v>628403.1100000001</v>
      </c>
      <c r="F6" s="18">
        <f>174586.84</f>
        <v>174586.84</v>
      </c>
      <c r="G6" s="7">
        <v>172580</v>
      </c>
      <c r="H6" s="7">
        <v>124987</v>
      </c>
      <c r="I6" s="19">
        <f>F6-G6</f>
        <v>2006.8399999999965</v>
      </c>
      <c r="J6" s="18">
        <v>61454.559999999998</v>
      </c>
      <c r="K6" s="7">
        <v>61400</v>
      </c>
      <c r="L6" s="7">
        <v>279408</v>
      </c>
      <c r="M6" s="19">
        <f>J6-K6</f>
        <v>54.559999999997672</v>
      </c>
      <c r="N6" s="18">
        <v>13966.94</v>
      </c>
      <c r="O6" s="7">
        <v>13950</v>
      </c>
      <c r="P6" s="7">
        <v>2778</v>
      </c>
      <c r="Q6" s="19">
        <f>N6-O6</f>
        <v>16.940000000000509</v>
      </c>
      <c r="R6" s="18">
        <v>7660.26</v>
      </c>
      <c r="S6" s="18">
        <v>87258.5</v>
      </c>
      <c r="T6" s="7">
        <v>80963</v>
      </c>
      <c r="U6" s="7">
        <v>57568</v>
      </c>
      <c r="V6" s="19">
        <f t="shared" si="0"/>
        <v>6295.5</v>
      </c>
      <c r="W6" s="18">
        <v>83244.460000000006</v>
      </c>
      <c r="X6" s="7">
        <f>83200</f>
        <v>83200</v>
      </c>
      <c r="Y6" s="7">
        <v>16569</v>
      </c>
      <c r="Z6" s="19">
        <f>W6-X6</f>
        <v>44.460000000006403</v>
      </c>
      <c r="AA6" s="18">
        <v>104472</v>
      </c>
      <c r="AB6" s="7">
        <v>104471</v>
      </c>
      <c r="AC6" s="7">
        <v>271732</v>
      </c>
      <c r="AD6" s="19">
        <f>AA6-AB6</f>
        <v>1</v>
      </c>
    </row>
    <row r="7" spans="1:30" s="1" customFormat="1" x14ac:dyDescent="0.2">
      <c r="A7" s="11" t="s">
        <v>27</v>
      </c>
      <c r="B7" s="11" t="s">
        <v>28</v>
      </c>
      <c r="C7" s="12" t="s">
        <v>29</v>
      </c>
      <c r="D7" s="7">
        <v>115743.45</v>
      </c>
      <c r="E7" s="15">
        <f>D7-SUM(H7,L7,P7,U7,Y7,AC7)</f>
        <v>54650.45</v>
      </c>
      <c r="F7" s="18">
        <v>21292</v>
      </c>
      <c r="G7" s="7"/>
      <c r="H7" s="7"/>
      <c r="I7" s="19">
        <f>F7-G7</f>
        <v>21292</v>
      </c>
      <c r="J7" s="18">
        <v>7494.78</v>
      </c>
      <c r="K7" s="7">
        <v>7494</v>
      </c>
      <c r="L7" s="7">
        <v>35997</v>
      </c>
      <c r="M7" s="19">
        <f>J7-K7</f>
        <v>0.77999999999974534</v>
      </c>
      <c r="N7" s="18">
        <v>1703.36</v>
      </c>
      <c r="O7" s="7"/>
      <c r="P7" s="7"/>
      <c r="Q7" s="19">
        <f>N7-O7</f>
        <v>1703.36</v>
      </c>
      <c r="R7" s="18"/>
      <c r="S7" s="18">
        <v>6888</v>
      </c>
      <c r="T7" s="7">
        <v>6888</v>
      </c>
      <c r="U7" s="7">
        <v>10814</v>
      </c>
      <c r="V7" s="19">
        <f t="shared" si="0"/>
        <v>0</v>
      </c>
      <c r="W7" s="18">
        <v>3670.97</v>
      </c>
      <c r="X7" s="7"/>
      <c r="Y7" s="7"/>
      <c r="Z7" s="19">
        <f>W7-X7</f>
        <v>3670.97</v>
      </c>
      <c r="AA7" s="18">
        <v>4607.0600000000004</v>
      </c>
      <c r="AB7" s="7">
        <v>4607</v>
      </c>
      <c r="AC7" s="7">
        <v>14282</v>
      </c>
      <c r="AD7" s="19">
        <f>AA7-AB7</f>
        <v>6.0000000000400178E-2</v>
      </c>
    </row>
    <row r="8" spans="1:30" ht="17" thickBot="1" x14ac:dyDescent="0.25">
      <c r="A8" s="10"/>
      <c r="B8" s="10"/>
      <c r="C8" s="13"/>
      <c r="D8" s="13">
        <f>SUM(D3:D7)</f>
        <v>2288472.1500000004</v>
      </c>
      <c r="E8" s="13">
        <f>SUM(E3:E7)</f>
        <v>908128.15</v>
      </c>
      <c r="F8" s="20">
        <f t="shared" ref="F8:AD8" si="1">SUM(F3:F7)</f>
        <v>322983.56</v>
      </c>
      <c r="G8" s="21">
        <f t="shared" si="1"/>
        <v>250420</v>
      </c>
      <c r="H8" s="21">
        <f t="shared" si="1"/>
        <v>181362</v>
      </c>
      <c r="I8" s="22">
        <f t="shared" si="1"/>
        <v>72563.56</v>
      </c>
      <c r="J8" s="20">
        <f t="shared" si="1"/>
        <v>113689.51999999999</v>
      </c>
      <c r="K8" s="21">
        <f t="shared" si="1"/>
        <v>113351</v>
      </c>
      <c r="L8" s="21">
        <f t="shared" si="1"/>
        <v>672806</v>
      </c>
      <c r="M8" s="22">
        <f t="shared" si="1"/>
        <v>338.51999999999771</v>
      </c>
      <c r="N8" s="20">
        <f t="shared" si="1"/>
        <v>25838.63</v>
      </c>
      <c r="O8" s="21">
        <f t="shared" si="1"/>
        <v>13950</v>
      </c>
      <c r="P8" s="21">
        <f t="shared" si="1"/>
        <v>2778</v>
      </c>
      <c r="Q8" s="22">
        <f t="shared" si="1"/>
        <v>11888.630000000001</v>
      </c>
      <c r="R8" s="20">
        <f t="shared" si="1"/>
        <v>23520.15</v>
      </c>
      <c r="S8" s="20">
        <f t="shared" si="1"/>
        <v>333193.7</v>
      </c>
      <c r="T8" s="21">
        <f t="shared" si="1"/>
        <v>124534</v>
      </c>
      <c r="U8" s="21">
        <f t="shared" si="1"/>
        <v>92226</v>
      </c>
      <c r="V8" s="22">
        <f t="shared" si="1"/>
        <v>208659.7</v>
      </c>
      <c r="W8" s="20">
        <f t="shared" si="1"/>
        <v>137330.5</v>
      </c>
      <c r="X8" s="21">
        <f t="shared" si="1"/>
        <v>83200</v>
      </c>
      <c r="Y8" s="21">
        <f t="shared" si="1"/>
        <v>16569</v>
      </c>
      <c r="Z8" s="22">
        <f t="shared" si="1"/>
        <v>54130.500000000007</v>
      </c>
      <c r="AA8" s="20">
        <f t="shared" si="1"/>
        <v>159494.13</v>
      </c>
      <c r="AB8" s="21">
        <f t="shared" si="1"/>
        <v>159078</v>
      </c>
      <c r="AC8" s="21">
        <f t="shared" si="1"/>
        <v>414603</v>
      </c>
      <c r="AD8" s="22">
        <f t="shared" si="1"/>
        <v>416.13000000000011</v>
      </c>
    </row>
    <row r="9" spans="1:30" x14ac:dyDescent="0.2">
      <c r="E9" s="3"/>
    </row>
    <row r="10" spans="1:30" x14ac:dyDescent="0.2">
      <c r="A10" s="51" t="s">
        <v>46</v>
      </c>
      <c r="B10" s="51" t="s">
        <v>47</v>
      </c>
      <c r="C10" s="35" t="s">
        <v>43</v>
      </c>
      <c r="D10" s="36" t="s">
        <v>48</v>
      </c>
      <c r="E10" s="37" t="s">
        <v>30</v>
      </c>
      <c r="F10" s="38" t="s">
        <v>31</v>
      </c>
      <c r="G10" s="61" t="s">
        <v>44</v>
      </c>
      <c r="H10" s="51" t="s">
        <v>49</v>
      </c>
    </row>
    <row r="11" spans="1:30" x14ac:dyDescent="0.2">
      <c r="A11" s="46">
        <v>41976</v>
      </c>
      <c r="B11" s="54">
        <v>7582944</v>
      </c>
      <c r="C11" s="43" t="s">
        <v>22</v>
      </c>
      <c r="D11" s="41">
        <v>4607</v>
      </c>
      <c r="E11" s="41">
        <v>14281.7</v>
      </c>
      <c r="F11" s="41">
        <v>894034.42</v>
      </c>
      <c r="G11" s="62">
        <v>310738370</v>
      </c>
      <c r="H11" s="59" t="s">
        <v>54</v>
      </c>
    </row>
    <row r="12" spans="1:30" x14ac:dyDescent="0.2">
      <c r="A12" s="46">
        <v>42531</v>
      </c>
      <c r="B12" s="54">
        <v>5591073</v>
      </c>
      <c r="C12" s="43" t="s">
        <v>22</v>
      </c>
      <c r="D12" s="44">
        <v>20000</v>
      </c>
      <c r="E12" s="44">
        <v>52000</v>
      </c>
      <c r="F12" s="44">
        <v>3551600</v>
      </c>
      <c r="G12" s="62">
        <v>910052314</v>
      </c>
      <c r="H12" s="59" t="s">
        <v>57</v>
      </c>
    </row>
    <row r="13" spans="1:30" x14ac:dyDescent="0.2">
      <c r="A13" s="46">
        <v>42531</v>
      </c>
      <c r="B13" s="54">
        <v>5590848</v>
      </c>
      <c r="C13" s="43" t="s">
        <v>22</v>
      </c>
      <c r="D13" s="44">
        <v>20000</v>
      </c>
      <c r="E13" s="45">
        <v>52000</v>
      </c>
      <c r="F13" s="44">
        <v>3551600</v>
      </c>
      <c r="G13" s="62">
        <v>910052314</v>
      </c>
      <c r="H13" s="59" t="s">
        <v>57</v>
      </c>
    </row>
    <row r="14" spans="1:30" x14ac:dyDescent="0.2">
      <c r="A14" s="46">
        <v>42534</v>
      </c>
      <c r="B14" s="54">
        <v>5603163</v>
      </c>
      <c r="C14" s="43" t="s">
        <v>22</v>
      </c>
      <c r="D14" s="44">
        <v>4471</v>
      </c>
      <c r="E14" s="45">
        <v>11624.6</v>
      </c>
      <c r="F14" s="44">
        <v>793960.18</v>
      </c>
      <c r="G14" s="62">
        <v>910052314</v>
      </c>
      <c r="H14" s="59" t="s">
        <v>57</v>
      </c>
    </row>
    <row r="15" spans="1:30" x14ac:dyDescent="0.2">
      <c r="A15" s="46">
        <v>42538</v>
      </c>
      <c r="B15" s="54">
        <v>5663533</v>
      </c>
      <c r="C15" s="43" t="s">
        <v>22</v>
      </c>
      <c r="D15" s="44">
        <v>20000</v>
      </c>
      <c r="E15" s="45">
        <v>52035.87</v>
      </c>
      <c r="F15" s="44">
        <v>3541041</v>
      </c>
      <c r="G15" s="62">
        <v>910052314</v>
      </c>
      <c r="H15" s="59" t="s">
        <v>51</v>
      </c>
    </row>
    <row r="16" spans="1:30" x14ac:dyDescent="0.2">
      <c r="A16" s="46">
        <v>42538</v>
      </c>
      <c r="B16" s="54">
        <v>5663535</v>
      </c>
      <c r="C16" s="43" t="s">
        <v>22</v>
      </c>
      <c r="D16" s="44">
        <v>20000</v>
      </c>
      <c r="E16" s="45">
        <v>52035.87</v>
      </c>
      <c r="F16" s="44">
        <v>3541041</v>
      </c>
      <c r="G16" s="62">
        <v>910052314</v>
      </c>
      <c r="H16" s="59" t="s">
        <v>51</v>
      </c>
    </row>
    <row r="17" spans="1:8" x14ac:dyDescent="0.2">
      <c r="A17" s="46">
        <v>42538</v>
      </c>
      <c r="B17" s="54">
        <v>5663536</v>
      </c>
      <c r="C17" s="43" t="s">
        <v>22</v>
      </c>
      <c r="D17" s="45">
        <v>20000</v>
      </c>
      <c r="E17" s="45">
        <v>52036.12</v>
      </c>
      <c r="F17" s="47">
        <v>3541058</v>
      </c>
      <c r="G17" s="62">
        <v>910052314</v>
      </c>
      <c r="H17" s="59" t="s">
        <v>51</v>
      </c>
    </row>
    <row r="18" spans="1:8" x14ac:dyDescent="0.2">
      <c r="A18" s="46">
        <v>42570</v>
      </c>
      <c r="B18" s="54">
        <v>5424450</v>
      </c>
      <c r="C18" s="43" t="s">
        <v>22</v>
      </c>
      <c r="D18" s="56">
        <v>20000</v>
      </c>
      <c r="E18" s="41">
        <v>50034.21</v>
      </c>
      <c r="F18" s="42">
        <v>3404828</v>
      </c>
      <c r="G18" s="63" t="s">
        <v>19</v>
      </c>
      <c r="H18" s="59" t="s">
        <v>51</v>
      </c>
    </row>
    <row r="19" spans="1:8" x14ac:dyDescent="0.2">
      <c r="A19" s="46">
        <v>42690</v>
      </c>
      <c r="B19" s="54">
        <v>5847683</v>
      </c>
      <c r="C19" s="43" t="s">
        <v>22</v>
      </c>
      <c r="D19" s="56">
        <v>20000</v>
      </c>
      <c r="E19" s="41">
        <v>52036.12</v>
      </c>
      <c r="F19" s="42">
        <v>3541058</v>
      </c>
      <c r="G19" s="63" t="s">
        <v>19</v>
      </c>
      <c r="H19" s="59" t="s">
        <v>51</v>
      </c>
    </row>
    <row r="20" spans="1:8" x14ac:dyDescent="0.2">
      <c r="A20" s="46">
        <v>42529</v>
      </c>
      <c r="B20" s="54">
        <v>7134382</v>
      </c>
      <c r="C20" s="43" t="s">
        <v>22</v>
      </c>
      <c r="D20" s="56">
        <v>10000</v>
      </c>
      <c r="E20" s="41">
        <v>26518.38</v>
      </c>
      <c r="F20" s="41">
        <v>1796620.5</v>
      </c>
      <c r="G20" s="63" t="s">
        <v>19</v>
      </c>
      <c r="H20" s="59" t="s">
        <v>51</v>
      </c>
    </row>
    <row r="21" spans="1:8" x14ac:dyDescent="0.2">
      <c r="A21" s="46"/>
      <c r="B21" s="54"/>
      <c r="C21" s="35" t="s">
        <v>69</v>
      </c>
      <c r="D21" s="65">
        <f>SUBTOTAL(9,D11:D20)</f>
        <v>159078</v>
      </c>
      <c r="E21" s="66">
        <f>SUBTOTAL(9,E11:E20)</f>
        <v>414602.87000000005</v>
      </c>
      <c r="F21" s="66">
        <f>SUBTOTAL(9,F11:F20)</f>
        <v>28156841.100000001</v>
      </c>
      <c r="G21" s="63"/>
      <c r="H21" s="59"/>
    </row>
    <row r="22" spans="1:8" x14ac:dyDescent="0.2">
      <c r="A22" s="46"/>
      <c r="B22" s="54"/>
      <c r="C22" s="35"/>
      <c r="D22" s="65"/>
      <c r="E22" s="66"/>
      <c r="F22" s="66"/>
      <c r="G22" s="63"/>
      <c r="H22" s="59"/>
    </row>
    <row r="23" spans="1:8" x14ac:dyDescent="0.2">
      <c r="A23" s="46">
        <v>41955</v>
      </c>
      <c r="B23" s="54">
        <v>7370336</v>
      </c>
      <c r="C23" s="43" t="s">
        <v>70</v>
      </c>
      <c r="D23" s="41">
        <v>6888</v>
      </c>
      <c r="E23" s="41">
        <v>10814.16</v>
      </c>
      <c r="F23" s="41">
        <v>669396.5</v>
      </c>
      <c r="G23" s="62">
        <v>310738370</v>
      </c>
      <c r="H23" s="59" t="s">
        <v>53</v>
      </c>
    </row>
    <row r="24" spans="1:8" x14ac:dyDescent="0.2">
      <c r="A24" s="46">
        <v>42545</v>
      </c>
      <c r="B24" s="54">
        <v>5758263</v>
      </c>
      <c r="C24" s="43" t="s">
        <v>70</v>
      </c>
      <c r="D24" s="44">
        <v>52170</v>
      </c>
      <c r="E24" s="45">
        <v>37125.300000000003</v>
      </c>
      <c r="F24" s="44">
        <v>2526376.75</v>
      </c>
      <c r="G24" s="62">
        <v>910052314</v>
      </c>
      <c r="H24" s="59" t="s">
        <v>55</v>
      </c>
    </row>
    <row r="25" spans="1:8" x14ac:dyDescent="0.2">
      <c r="A25" s="46">
        <v>42545</v>
      </c>
      <c r="B25" s="54">
        <v>5758326</v>
      </c>
      <c r="C25" s="43" t="s">
        <v>70</v>
      </c>
      <c r="D25" s="44">
        <v>28793</v>
      </c>
      <c r="E25" s="45">
        <v>20443.09</v>
      </c>
      <c r="F25" s="44">
        <v>1391152.59</v>
      </c>
      <c r="G25" s="62">
        <v>910052314</v>
      </c>
      <c r="H25" s="59" t="s">
        <v>55</v>
      </c>
    </row>
    <row r="26" spans="1:8" x14ac:dyDescent="0.2">
      <c r="A26" s="46">
        <v>42529</v>
      </c>
      <c r="B26" s="54">
        <v>5552488</v>
      </c>
      <c r="C26" s="43" t="s">
        <v>70</v>
      </c>
      <c r="D26" s="41">
        <v>36683</v>
      </c>
      <c r="E26" s="41">
        <v>23843.95</v>
      </c>
      <c r="F26" s="41">
        <v>1628541.79</v>
      </c>
      <c r="G26" s="63" t="s">
        <v>19</v>
      </c>
      <c r="H26" s="59" t="s">
        <v>59</v>
      </c>
    </row>
    <row r="27" spans="1:8" x14ac:dyDescent="0.2">
      <c r="A27" s="46"/>
      <c r="B27" s="54"/>
      <c r="C27" s="35" t="s">
        <v>68</v>
      </c>
      <c r="D27" s="66">
        <f>SUBTOTAL(9,D23:D26)</f>
        <v>124534</v>
      </c>
      <c r="E27" s="66">
        <f>SUBTOTAL(9,E23:E26)</f>
        <v>92226.5</v>
      </c>
      <c r="F27" s="66">
        <f>SUBTOTAL(9,F23:F26)</f>
        <v>6215467.6299999999</v>
      </c>
      <c r="G27" s="63"/>
      <c r="H27" s="59"/>
    </row>
    <row r="28" spans="1:8" x14ac:dyDescent="0.2">
      <c r="A28" s="46"/>
      <c r="B28" s="54"/>
      <c r="C28" s="35"/>
      <c r="D28" s="66"/>
      <c r="E28" s="66"/>
      <c r="F28" s="66"/>
      <c r="G28" s="63"/>
      <c r="H28" s="59"/>
    </row>
    <row r="29" spans="1:8" x14ac:dyDescent="0.2">
      <c r="A29" s="46">
        <v>42541</v>
      </c>
      <c r="B29" s="54">
        <v>5701638</v>
      </c>
      <c r="C29" s="58" t="s">
        <v>8</v>
      </c>
      <c r="D29" s="45">
        <v>172580</v>
      </c>
      <c r="E29" s="44">
        <v>124986.78</v>
      </c>
      <c r="F29" s="45">
        <v>8505350.4499999993</v>
      </c>
      <c r="G29" s="62">
        <v>910052314</v>
      </c>
      <c r="H29" s="59" t="s">
        <v>58</v>
      </c>
    </row>
    <row r="30" spans="1:8" x14ac:dyDescent="0.2">
      <c r="A30" s="46">
        <v>42541</v>
      </c>
      <c r="B30" s="54">
        <v>5701638</v>
      </c>
      <c r="C30" s="58" t="s">
        <v>8</v>
      </c>
      <c r="D30" s="42">
        <v>77840</v>
      </c>
      <c r="E30" s="41">
        <v>56374.62</v>
      </c>
      <c r="F30" s="42">
        <v>3836293.22</v>
      </c>
      <c r="G30" s="63" t="s">
        <v>19</v>
      </c>
      <c r="H30" s="59" t="s">
        <v>58</v>
      </c>
    </row>
    <row r="31" spans="1:8" x14ac:dyDescent="0.2">
      <c r="A31" s="46"/>
      <c r="B31" s="54"/>
      <c r="C31" s="55" t="s">
        <v>63</v>
      </c>
      <c r="D31" s="67">
        <f>SUBTOTAL(9,D29:D30)</f>
        <v>250420</v>
      </c>
      <c r="E31" s="66">
        <f>SUBTOTAL(9,E29:E30)</f>
        <v>181361.4</v>
      </c>
      <c r="F31" s="67">
        <f>SUBTOTAL(9,F29:F30)</f>
        <v>12341643.67</v>
      </c>
      <c r="G31" s="63"/>
      <c r="H31" s="59"/>
    </row>
    <row r="32" spans="1:8" x14ac:dyDescent="0.2">
      <c r="A32" s="46"/>
      <c r="B32" s="54"/>
      <c r="C32" s="55"/>
      <c r="D32" s="67"/>
      <c r="E32" s="66"/>
      <c r="F32" s="67"/>
      <c r="G32" s="63"/>
      <c r="H32" s="59"/>
    </row>
    <row r="33" spans="1:8" x14ac:dyDescent="0.2">
      <c r="A33" s="46">
        <v>42024</v>
      </c>
      <c r="B33" s="54">
        <v>8051208</v>
      </c>
      <c r="C33" s="39" t="s">
        <v>9</v>
      </c>
      <c r="D33" s="40">
        <v>7494</v>
      </c>
      <c r="E33" s="41">
        <v>35996.97</v>
      </c>
      <c r="F33" s="42">
        <v>2242611</v>
      </c>
      <c r="G33" s="62">
        <v>310738370</v>
      </c>
      <c r="H33" s="59" t="s">
        <v>52</v>
      </c>
    </row>
    <row r="34" spans="1:8" x14ac:dyDescent="0.2">
      <c r="A34" s="46">
        <v>42609</v>
      </c>
      <c r="B34" s="54">
        <v>6516026</v>
      </c>
      <c r="C34" s="39" t="s">
        <v>9</v>
      </c>
      <c r="D34" s="45">
        <v>10000</v>
      </c>
      <c r="E34" s="44">
        <v>45506.25</v>
      </c>
      <c r="F34" s="45">
        <v>3083048.44</v>
      </c>
      <c r="G34" s="62">
        <v>910052314</v>
      </c>
      <c r="H34" s="59" t="s">
        <v>42</v>
      </c>
    </row>
    <row r="35" spans="1:8" x14ac:dyDescent="0.2">
      <c r="A35" s="46">
        <v>42609</v>
      </c>
      <c r="B35" s="54">
        <v>6516376</v>
      </c>
      <c r="C35" s="39" t="s">
        <v>9</v>
      </c>
      <c r="D35" s="45">
        <v>10000</v>
      </c>
      <c r="E35" s="44">
        <v>45506.25</v>
      </c>
      <c r="F35" s="45">
        <v>3083048.44</v>
      </c>
      <c r="G35" s="62">
        <v>910052314</v>
      </c>
      <c r="H35" s="59" t="s">
        <v>42</v>
      </c>
    </row>
    <row r="36" spans="1:8" x14ac:dyDescent="0.2">
      <c r="A36" s="46">
        <v>42609</v>
      </c>
      <c r="B36" s="54">
        <v>6516377</v>
      </c>
      <c r="C36" s="39" t="s">
        <v>9</v>
      </c>
      <c r="D36" s="45">
        <v>20400</v>
      </c>
      <c r="E36" s="44">
        <v>92832.75</v>
      </c>
      <c r="F36" s="45">
        <v>6289418.8099999996</v>
      </c>
      <c r="G36" s="62">
        <v>910052314</v>
      </c>
      <c r="H36" s="59" t="s">
        <v>42</v>
      </c>
    </row>
    <row r="37" spans="1:8" x14ac:dyDescent="0.2">
      <c r="A37" s="46">
        <v>42609</v>
      </c>
      <c r="B37" s="54">
        <v>6516950</v>
      </c>
      <c r="C37" s="39" t="s">
        <v>9</v>
      </c>
      <c r="D37" s="45">
        <v>21000</v>
      </c>
      <c r="E37" s="44">
        <v>95563.13</v>
      </c>
      <c r="F37" s="45">
        <v>6474401.7199999997</v>
      </c>
      <c r="G37" s="62">
        <v>910052314</v>
      </c>
      <c r="H37" s="59" t="s">
        <v>42</v>
      </c>
    </row>
    <row r="38" spans="1:8" x14ac:dyDescent="0.2">
      <c r="A38" s="46">
        <v>42570</v>
      </c>
      <c r="B38" s="54">
        <v>6040177</v>
      </c>
      <c r="C38" s="39" t="s">
        <v>9</v>
      </c>
      <c r="D38" s="56">
        <v>26730</v>
      </c>
      <c r="E38" s="41">
        <v>218948.77</v>
      </c>
      <c r="F38" s="42">
        <v>14932306.199999999</v>
      </c>
      <c r="G38" s="63" t="s">
        <v>19</v>
      </c>
      <c r="H38" s="59" t="s">
        <v>42</v>
      </c>
    </row>
    <row r="39" spans="1:8" x14ac:dyDescent="0.2">
      <c r="A39" s="46">
        <v>42690</v>
      </c>
      <c r="B39" s="54">
        <v>7476893</v>
      </c>
      <c r="C39" s="39" t="s">
        <v>9</v>
      </c>
      <c r="D39" s="42">
        <v>1375</v>
      </c>
      <c r="E39" s="41">
        <v>10289.48</v>
      </c>
      <c r="F39" s="42">
        <v>695569</v>
      </c>
      <c r="G39" s="63" t="s">
        <v>19</v>
      </c>
      <c r="H39" s="59" t="s">
        <v>42</v>
      </c>
    </row>
    <row r="40" spans="1:8" x14ac:dyDescent="0.2">
      <c r="A40" s="52" t="s">
        <v>33</v>
      </c>
      <c r="B40" s="52" t="s">
        <v>32</v>
      </c>
      <c r="C40" s="39" t="s">
        <v>9</v>
      </c>
      <c r="D40" s="49">
        <v>3360</v>
      </c>
      <c r="E40" s="49">
        <v>28224</v>
      </c>
      <c r="F40" s="50">
        <v>1941811.2</v>
      </c>
      <c r="G40" s="48" t="s">
        <v>2</v>
      </c>
      <c r="H40" s="60" t="s">
        <v>36</v>
      </c>
    </row>
    <row r="41" spans="1:8" x14ac:dyDescent="0.2">
      <c r="A41" s="52" t="s">
        <v>34</v>
      </c>
      <c r="B41" s="52" t="s">
        <v>35</v>
      </c>
      <c r="C41" s="39" t="s">
        <v>9</v>
      </c>
      <c r="D41" s="49">
        <v>1720</v>
      </c>
      <c r="E41" s="50">
        <v>14448</v>
      </c>
      <c r="F41" s="50">
        <v>975240</v>
      </c>
      <c r="G41" s="48" t="s">
        <v>2</v>
      </c>
      <c r="H41" s="60" t="s">
        <v>36</v>
      </c>
    </row>
    <row r="42" spans="1:8" x14ac:dyDescent="0.2">
      <c r="A42" s="52" t="s">
        <v>40</v>
      </c>
      <c r="B42" s="52" t="s">
        <v>41</v>
      </c>
      <c r="C42" s="39" t="s">
        <v>9</v>
      </c>
      <c r="D42" s="49">
        <v>6222</v>
      </c>
      <c r="E42" s="49">
        <v>47189.99</v>
      </c>
      <c r="F42" s="49">
        <v>3190043</v>
      </c>
      <c r="G42" s="48" t="s">
        <v>16</v>
      </c>
      <c r="H42" s="60" t="s">
        <v>37</v>
      </c>
    </row>
    <row r="43" spans="1:8" x14ac:dyDescent="0.2">
      <c r="A43" s="52" t="s">
        <v>39</v>
      </c>
      <c r="B43" s="52" t="s">
        <v>38</v>
      </c>
      <c r="C43" s="39" t="s">
        <v>9</v>
      </c>
      <c r="D43" s="49">
        <v>5050</v>
      </c>
      <c r="E43" s="49">
        <v>38301.089999999997</v>
      </c>
      <c r="F43" s="50">
        <v>2619794.7999999998</v>
      </c>
      <c r="G43" s="48" t="s">
        <v>16</v>
      </c>
      <c r="H43" s="60" t="s">
        <v>37</v>
      </c>
    </row>
    <row r="44" spans="1:8" x14ac:dyDescent="0.2">
      <c r="A44" s="52"/>
      <c r="B44" s="52"/>
      <c r="C44" s="57" t="s">
        <v>64</v>
      </c>
      <c r="D44" s="68">
        <f>SUBTOTAL(9,D33:D43)</f>
        <v>113351</v>
      </c>
      <c r="E44" s="68">
        <f>SUBTOTAL(9,E33:E43)</f>
        <v>672806.67999999993</v>
      </c>
      <c r="F44" s="69">
        <f>SUBTOTAL(9,F33:F43)</f>
        <v>45527292.609999999</v>
      </c>
      <c r="G44" s="48"/>
      <c r="H44" s="60"/>
    </row>
    <row r="45" spans="1:8" x14ac:dyDescent="0.2">
      <c r="A45" s="52"/>
      <c r="B45" s="52"/>
      <c r="C45" s="57"/>
      <c r="D45" s="68"/>
      <c r="E45" s="68"/>
      <c r="F45" s="69"/>
      <c r="G45" s="48"/>
      <c r="H45" s="60"/>
    </row>
    <row r="46" spans="1:8" x14ac:dyDescent="0.2">
      <c r="A46" s="46">
        <v>42538</v>
      </c>
      <c r="B46" s="54">
        <v>5665920</v>
      </c>
      <c r="C46" s="43" t="s">
        <v>60</v>
      </c>
      <c r="D46" s="45">
        <v>13950</v>
      </c>
      <c r="E46" s="44">
        <v>2778.16</v>
      </c>
      <c r="F46" s="45">
        <v>189053.89</v>
      </c>
      <c r="G46" s="62">
        <v>910052314</v>
      </c>
      <c r="H46" s="59" t="s">
        <v>56</v>
      </c>
    </row>
    <row r="47" spans="1:8" x14ac:dyDescent="0.2">
      <c r="A47" s="46"/>
      <c r="B47" s="54"/>
      <c r="C47" s="35" t="s">
        <v>65</v>
      </c>
      <c r="D47" s="64">
        <f>SUBTOTAL(9,D46:D46)</f>
        <v>13950</v>
      </c>
      <c r="E47" s="70">
        <f>SUBTOTAL(9,E46:E46)</f>
        <v>2778.16</v>
      </c>
      <c r="F47" s="64">
        <f>SUBTOTAL(9,F46:F46)</f>
        <v>189053.89</v>
      </c>
      <c r="G47" s="62"/>
      <c r="H47" s="59"/>
    </row>
    <row r="48" spans="1:8" x14ac:dyDescent="0.2">
      <c r="A48" s="46"/>
      <c r="B48" s="54"/>
      <c r="C48" s="35"/>
      <c r="D48" s="64"/>
      <c r="E48" s="70"/>
      <c r="F48" s="64"/>
      <c r="G48" s="62"/>
      <c r="H48" s="59"/>
    </row>
    <row r="49" spans="1:8" x14ac:dyDescent="0.2">
      <c r="A49" s="46">
        <v>42538</v>
      </c>
      <c r="B49" s="54">
        <v>5665920</v>
      </c>
      <c r="C49" s="43" t="s">
        <v>26</v>
      </c>
      <c r="D49" s="45">
        <v>83200</v>
      </c>
      <c r="E49" s="45">
        <v>16569.39</v>
      </c>
      <c r="F49" s="45">
        <v>1127547.2</v>
      </c>
      <c r="G49" s="62">
        <v>910052314</v>
      </c>
      <c r="H49" s="59" t="s">
        <v>56</v>
      </c>
    </row>
    <row r="50" spans="1:8" x14ac:dyDescent="0.2">
      <c r="A50" s="46"/>
      <c r="B50" s="54"/>
      <c r="C50" s="35" t="s">
        <v>66</v>
      </c>
      <c r="D50" s="64">
        <f>SUBTOTAL(9,D49:D49)</f>
        <v>83200</v>
      </c>
      <c r="E50" s="64">
        <f>SUBTOTAL(9,E49:E49)</f>
        <v>16569.39</v>
      </c>
      <c r="F50" s="64">
        <f>SUBTOTAL(9,F49:F49)</f>
        <v>1127547.2</v>
      </c>
      <c r="G50" s="62"/>
      <c r="H50" s="59"/>
    </row>
    <row r="51" spans="1:8" x14ac:dyDescent="0.2">
      <c r="A51" s="46"/>
      <c r="B51" s="54"/>
      <c r="C51" s="35"/>
      <c r="D51" s="64"/>
      <c r="E51" s="64"/>
      <c r="F51" s="64"/>
      <c r="G51" s="62"/>
      <c r="H51" s="59"/>
    </row>
    <row r="52" spans="1:8" x14ac:dyDescent="0.2">
      <c r="A52" s="46"/>
      <c r="B52" s="54"/>
      <c r="C52" s="71" t="s">
        <v>67</v>
      </c>
      <c r="D52" s="72">
        <f>SUBTOTAL(9,D11:D49)</f>
        <v>744533</v>
      </c>
      <c r="E52" s="72">
        <f>SUBTOTAL(9,E11:E49)</f>
        <v>1380344.9999999998</v>
      </c>
      <c r="F52" s="72">
        <f>SUBTOTAL(9,F11:F49)</f>
        <v>93557846.100000009</v>
      </c>
      <c r="G52" s="62"/>
      <c r="H52" s="59"/>
    </row>
  </sheetData>
  <mergeCells count="6">
    <mergeCell ref="J1:M1"/>
    <mergeCell ref="S1:V1"/>
    <mergeCell ref="F1:I1"/>
    <mergeCell ref="AA1:AD1"/>
    <mergeCell ref="N1:Q1"/>
    <mergeCell ref="W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3B56-BCE8-7243-911A-7058C8CC40A2}">
  <dimension ref="A1:I37"/>
  <sheetViews>
    <sheetView workbookViewId="0">
      <selection activeCell="C31" sqref="A1:H37"/>
    </sheetView>
  </sheetViews>
  <sheetFormatPr baseColWidth="10" defaultRowHeight="16" outlineLevelRow="2" x14ac:dyDescent="0.2"/>
  <cols>
    <col min="1" max="1" width="10.5" style="53" bestFit="1" customWidth="1"/>
    <col min="2" max="2" width="19.5" style="53" bestFit="1" customWidth="1"/>
    <col min="3" max="3" width="35.6640625" style="32" bestFit="1" customWidth="1"/>
    <col min="4" max="4" width="12.6640625" style="31" bestFit="1" customWidth="1"/>
    <col min="5" max="5" width="13" style="31" bestFit="1" customWidth="1"/>
    <col min="6" max="6" width="15.33203125" style="31" bestFit="1" customWidth="1"/>
    <col min="7" max="7" width="11.1640625" style="2" bestFit="1" customWidth="1"/>
    <col min="8" max="8" width="24.5" style="53" bestFit="1" customWidth="1"/>
    <col min="9" max="16384" width="10.83203125" style="32"/>
  </cols>
  <sheetData>
    <row r="1" spans="1:9" x14ac:dyDescent="0.2">
      <c r="A1" s="51" t="s">
        <v>46</v>
      </c>
      <c r="B1" s="51" t="s">
        <v>47</v>
      </c>
      <c r="C1" s="35" t="s">
        <v>43</v>
      </c>
      <c r="D1" s="36" t="s">
        <v>48</v>
      </c>
      <c r="E1" s="37" t="s">
        <v>30</v>
      </c>
      <c r="F1" s="38" t="s">
        <v>31</v>
      </c>
      <c r="G1" s="61" t="s">
        <v>44</v>
      </c>
      <c r="H1" s="51" t="s">
        <v>49</v>
      </c>
    </row>
    <row r="2" spans="1:9" outlineLevel="2" x14ac:dyDescent="0.2">
      <c r="A2" s="46">
        <v>41976</v>
      </c>
      <c r="B2" s="54">
        <v>7582944</v>
      </c>
      <c r="C2" s="43" t="s">
        <v>45</v>
      </c>
      <c r="D2" s="41">
        <v>4607</v>
      </c>
      <c r="E2" s="41">
        <v>14281.7</v>
      </c>
      <c r="F2" s="41">
        <v>894034.42</v>
      </c>
      <c r="G2" s="62">
        <v>310738370</v>
      </c>
      <c r="H2" s="59" t="s">
        <v>54</v>
      </c>
    </row>
    <row r="3" spans="1:9" outlineLevel="2" x14ac:dyDescent="0.2">
      <c r="A3" s="46">
        <v>42531</v>
      </c>
      <c r="B3" s="54">
        <v>5591073</v>
      </c>
      <c r="C3" s="43" t="s">
        <v>45</v>
      </c>
      <c r="D3" s="44">
        <v>20000</v>
      </c>
      <c r="E3" s="44">
        <v>52000</v>
      </c>
      <c r="F3" s="44">
        <v>3551600</v>
      </c>
      <c r="G3" s="62">
        <v>910052314</v>
      </c>
      <c r="H3" s="59" t="s">
        <v>57</v>
      </c>
    </row>
    <row r="4" spans="1:9" outlineLevel="2" x14ac:dyDescent="0.2">
      <c r="A4" s="46">
        <v>42531</v>
      </c>
      <c r="B4" s="54">
        <v>5590848</v>
      </c>
      <c r="C4" s="43" t="s">
        <v>45</v>
      </c>
      <c r="D4" s="44">
        <v>20000</v>
      </c>
      <c r="E4" s="45">
        <v>52000</v>
      </c>
      <c r="F4" s="44">
        <v>3551600</v>
      </c>
      <c r="G4" s="62">
        <v>910052314</v>
      </c>
      <c r="H4" s="59" t="s">
        <v>57</v>
      </c>
    </row>
    <row r="5" spans="1:9" outlineLevel="2" x14ac:dyDescent="0.2">
      <c r="A5" s="46">
        <v>42534</v>
      </c>
      <c r="B5" s="54">
        <v>5603163</v>
      </c>
      <c r="C5" s="43" t="s">
        <v>45</v>
      </c>
      <c r="D5" s="44">
        <v>4471</v>
      </c>
      <c r="E5" s="45">
        <v>11624.6</v>
      </c>
      <c r="F5" s="44">
        <v>793960.18</v>
      </c>
      <c r="G5" s="62">
        <v>910052314</v>
      </c>
      <c r="H5" s="59" t="s">
        <v>57</v>
      </c>
    </row>
    <row r="6" spans="1:9" outlineLevel="2" x14ac:dyDescent="0.2">
      <c r="A6" s="46">
        <v>42538</v>
      </c>
      <c r="B6" s="54">
        <v>5663533</v>
      </c>
      <c r="C6" s="43" t="s">
        <v>45</v>
      </c>
      <c r="D6" s="44">
        <v>20000</v>
      </c>
      <c r="E6" s="45">
        <v>52035.87</v>
      </c>
      <c r="F6" s="44">
        <v>3541041</v>
      </c>
      <c r="G6" s="62">
        <v>910052314</v>
      </c>
      <c r="H6" s="59" t="s">
        <v>51</v>
      </c>
      <c r="I6" s="33"/>
    </row>
    <row r="7" spans="1:9" outlineLevel="2" x14ac:dyDescent="0.2">
      <c r="A7" s="46">
        <v>42538</v>
      </c>
      <c r="B7" s="54">
        <v>5663535</v>
      </c>
      <c r="C7" s="43" t="s">
        <v>45</v>
      </c>
      <c r="D7" s="44">
        <v>20000</v>
      </c>
      <c r="E7" s="45">
        <v>52035.87</v>
      </c>
      <c r="F7" s="44">
        <v>3541041</v>
      </c>
      <c r="G7" s="62">
        <v>910052314</v>
      </c>
      <c r="H7" s="59" t="s">
        <v>51</v>
      </c>
      <c r="I7" s="34"/>
    </row>
    <row r="8" spans="1:9" outlineLevel="2" x14ac:dyDescent="0.2">
      <c r="A8" s="46">
        <v>42538</v>
      </c>
      <c r="B8" s="54">
        <v>5663536</v>
      </c>
      <c r="C8" s="43" t="s">
        <v>45</v>
      </c>
      <c r="D8" s="45">
        <v>20000</v>
      </c>
      <c r="E8" s="45">
        <v>52036.12</v>
      </c>
      <c r="F8" s="47">
        <v>3541058</v>
      </c>
      <c r="G8" s="62">
        <v>910052314</v>
      </c>
      <c r="H8" s="59" t="s">
        <v>51</v>
      </c>
      <c r="I8" s="34"/>
    </row>
    <row r="9" spans="1:9" outlineLevel="2" x14ac:dyDescent="0.2">
      <c r="A9" s="46">
        <v>42570</v>
      </c>
      <c r="B9" s="54">
        <v>5424450</v>
      </c>
      <c r="C9" s="43" t="s">
        <v>45</v>
      </c>
      <c r="D9" s="56">
        <v>20000</v>
      </c>
      <c r="E9" s="41">
        <v>50034.21</v>
      </c>
      <c r="F9" s="42">
        <v>3404828</v>
      </c>
      <c r="G9" s="63" t="s">
        <v>19</v>
      </c>
      <c r="H9" s="59" t="s">
        <v>51</v>
      </c>
    </row>
    <row r="10" spans="1:9" outlineLevel="2" x14ac:dyDescent="0.2">
      <c r="A10" s="46">
        <v>42690</v>
      </c>
      <c r="B10" s="54">
        <v>5847683</v>
      </c>
      <c r="C10" s="43" t="s">
        <v>45</v>
      </c>
      <c r="D10" s="56">
        <v>20000</v>
      </c>
      <c r="E10" s="41">
        <v>52036.12</v>
      </c>
      <c r="F10" s="42">
        <v>3541058</v>
      </c>
      <c r="G10" s="63" t="s">
        <v>19</v>
      </c>
      <c r="H10" s="59" t="s">
        <v>51</v>
      </c>
    </row>
    <row r="11" spans="1:9" outlineLevel="2" x14ac:dyDescent="0.2">
      <c r="A11" s="46">
        <v>42529</v>
      </c>
      <c r="B11" s="54">
        <v>7134382</v>
      </c>
      <c r="C11" s="43" t="s">
        <v>45</v>
      </c>
      <c r="D11" s="56">
        <v>10000</v>
      </c>
      <c r="E11" s="41">
        <v>26518.38</v>
      </c>
      <c r="F11" s="41">
        <v>1796620.5</v>
      </c>
      <c r="G11" s="63" t="s">
        <v>19</v>
      </c>
      <c r="H11" s="59" t="s">
        <v>51</v>
      </c>
    </row>
    <row r="12" spans="1:9" outlineLevel="1" x14ac:dyDescent="0.2">
      <c r="A12" s="46"/>
      <c r="B12" s="54"/>
      <c r="C12" s="35" t="s">
        <v>61</v>
      </c>
      <c r="D12" s="56">
        <f>SUBTOTAL(9,D2:D11)</f>
        <v>159078</v>
      </c>
      <c r="E12" s="41">
        <f>SUBTOTAL(9,E2:E11)</f>
        <v>414602.87000000005</v>
      </c>
      <c r="F12" s="41">
        <f>SUBTOTAL(9,F2:F11)</f>
        <v>28156841.100000001</v>
      </c>
      <c r="G12" s="63"/>
      <c r="H12" s="59"/>
    </row>
    <row r="13" spans="1:9" outlineLevel="2" x14ac:dyDescent="0.2">
      <c r="A13" s="46">
        <v>41955</v>
      </c>
      <c r="B13" s="54">
        <v>7370336</v>
      </c>
      <c r="C13" s="43" t="s">
        <v>50</v>
      </c>
      <c r="D13" s="41">
        <v>6888</v>
      </c>
      <c r="E13" s="41">
        <v>10814.16</v>
      </c>
      <c r="F13" s="41">
        <v>669396.5</v>
      </c>
      <c r="G13" s="62">
        <v>310738370</v>
      </c>
      <c r="H13" s="59" t="s">
        <v>53</v>
      </c>
    </row>
    <row r="14" spans="1:9" outlineLevel="2" x14ac:dyDescent="0.2">
      <c r="A14" s="46">
        <v>42545</v>
      </c>
      <c r="B14" s="54">
        <v>5758263</v>
      </c>
      <c r="C14" s="43" t="s">
        <v>50</v>
      </c>
      <c r="D14" s="44">
        <v>52170</v>
      </c>
      <c r="E14" s="45">
        <v>37125.300000000003</v>
      </c>
      <c r="F14" s="44">
        <v>2526376.75</v>
      </c>
      <c r="G14" s="62">
        <v>910052314</v>
      </c>
      <c r="H14" s="59" t="s">
        <v>55</v>
      </c>
    </row>
    <row r="15" spans="1:9" outlineLevel="2" x14ac:dyDescent="0.2">
      <c r="A15" s="46">
        <v>42545</v>
      </c>
      <c r="B15" s="54">
        <v>5758326</v>
      </c>
      <c r="C15" s="43" t="s">
        <v>50</v>
      </c>
      <c r="D15" s="44">
        <v>28793</v>
      </c>
      <c r="E15" s="45">
        <v>20443.09</v>
      </c>
      <c r="F15" s="44">
        <v>1391152.59</v>
      </c>
      <c r="G15" s="62">
        <v>910052314</v>
      </c>
      <c r="H15" s="59" t="s">
        <v>55</v>
      </c>
    </row>
    <row r="16" spans="1:9" outlineLevel="2" x14ac:dyDescent="0.2">
      <c r="A16" s="46">
        <v>42529</v>
      </c>
      <c r="B16" s="54">
        <v>5552488</v>
      </c>
      <c r="C16" s="43" t="s">
        <v>50</v>
      </c>
      <c r="D16" s="41">
        <v>36683</v>
      </c>
      <c r="E16" s="41">
        <v>23843.95</v>
      </c>
      <c r="F16" s="41">
        <v>1628541.79</v>
      </c>
      <c r="G16" s="63" t="s">
        <v>19</v>
      </c>
      <c r="H16" s="59" t="s">
        <v>59</v>
      </c>
    </row>
    <row r="17" spans="1:8" outlineLevel="1" x14ac:dyDescent="0.2">
      <c r="A17" s="46"/>
      <c r="B17" s="54"/>
      <c r="C17" s="35" t="s">
        <v>62</v>
      </c>
      <c r="D17" s="41">
        <f>SUBTOTAL(9,D13:D16)</f>
        <v>124534</v>
      </c>
      <c r="E17" s="41">
        <f>SUBTOTAL(9,E13:E16)</f>
        <v>92226.5</v>
      </c>
      <c r="F17" s="41">
        <f>SUBTOTAL(9,F13:F16)</f>
        <v>6215467.6299999999</v>
      </c>
      <c r="G17" s="63"/>
      <c r="H17" s="59"/>
    </row>
    <row r="18" spans="1:8" outlineLevel="2" x14ac:dyDescent="0.2">
      <c r="A18" s="46">
        <v>42541</v>
      </c>
      <c r="B18" s="54">
        <v>5701638</v>
      </c>
      <c r="C18" s="58" t="s">
        <v>8</v>
      </c>
      <c r="D18" s="45">
        <v>172580</v>
      </c>
      <c r="E18" s="44">
        <v>124986.78</v>
      </c>
      <c r="F18" s="45">
        <v>8505350.4499999993</v>
      </c>
      <c r="G18" s="62">
        <v>910052314</v>
      </c>
      <c r="H18" s="59" t="s">
        <v>58</v>
      </c>
    </row>
    <row r="19" spans="1:8" outlineLevel="2" x14ac:dyDescent="0.2">
      <c r="A19" s="46">
        <v>42541</v>
      </c>
      <c r="B19" s="54">
        <v>5701638</v>
      </c>
      <c r="C19" s="58" t="s">
        <v>8</v>
      </c>
      <c r="D19" s="42">
        <v>77840</v>
      </c>
      <c r="E19" s="41">
        <v>56374.62</v>
      </c>
      <c r="F19" s="42">
        <v>3836293.22</v>
      </c>
      <c r="G19" s="63" t="s">
        <v>19</v>
      </c>
      <c r="H19" s="59" t="s">
        <v>58</v>
      </c>
    </row>
    <row r="20" spans="1:8" outlineLevel="1" x14ac:dyDescent="0.2">
      <c r="A20" s="46"/>
      <c r="B20" s="54"/>
      <c r="C20" s="55" t="s">
        <v>63</v>
      </c>
      <c r="D20" s="42">
        <f>SUBTOTAL(9,D18:D19)</f>
        <v>250420</v>
      </c>
      <c r="E20" s="41">
        <f>SUBTOTAL(9,E18:E19)</f>
        <v>181361.4</v>
      </c>
      <c r="F20" s="42">
        <f>SUBTOTAL(9,F18:F19)</f>
        <v>12341643.67</v>
      </c>
      <c r="G20" s="63"/>
      <c r="H20" s="59"/>
    </row>
    <row r="21" spans="1:8" outlineLevel="2" x14ac:dyDescent="0.2">
      <c r="A21" s="46">
        <v>42024</v>
      </c>
      <c r="B21" s="54">
        <v>8051208</v>
      </c>
      <c r="C21" s="39" t="s">
        <v>9</v>
      </c>
      <c r="D21" s="40">
        <v>7494</v>
      </c>
      <c r="E21" s="41">
        <v>35996.97</v>
      </c>
      <c r="F21" s="42">
        <v>2242611</v>
      </c>
      <c r="G21" s="62">
        <v>310738370</v>
      </c>
      <c r="H21" s="59" t="s">
        <v>52</v>
      </c>
    </row>
    <row r="22" spans="1:8" outlineLevel="2" x14ac:dyDescent="0.2">
      <c r="A22" s="46">
        <v>42609</v>
      </c>
      <c r="B22" s="54">
        <v>6516026</v>
      </c>
      <c r="C22" s="39" t="s">
        <v>9</v>
      </c>
      <c r="D22" s="45">
        <v>10000</v>
      </c>
      <c r="E22" s="44">
        <v>45506.25</v>
      </c>
      <c r="F22" s="45">
        <v>3083048.44</v>
      </c>
      <c r="G22" s="62">
        <v>910052314</v>
      </c>
      <c r="H22" s="59" t="s">
        <v>42</v>
      </c>
    </row>
    <row r="23" spans="1:8" outlineLevel="2" x14ac:dyDescent="0.2">
      <c r="A23" s="46">
        <v>42609</v>
      </c>
      <c r="B23" s="54">
        <v>6516376</v>
      </c>
      <c r="C23" s="39" t="s">
        <v>9</v>
      </c>
      <c r="D23" s="45">
        <v>10000</v>
      </c>
      <c r="E23" s="44">
        <v>45506.25</v>
      </c>
      <c r="F23" s="45">
        <v>3083048.44</v>
      </c>
      <c r="G23" s="62">
        <v>910052314</v>
      </c>
      <c r="H23" s="59" t="s">
        <v>42</v>
      </c>
    </row>
    <row r="24" spans="1:8" outlineLevel="2" x14ac:dyDescent="0.2">
      <c r="A24" s="46">
        <v>42609</v>
      </c>
      <c r="B24" s="54">
        <v>6516377</v>
      </c>
      <c r="C24" s="39" t="s">
        <v>9</v>
      </c>
      <c r="D24" s="45">
        <v>20400</v>
      </c>
      <c r="E24" s="44">
        <v>92832.75</v>
      </c>
      <c r="F24" s="45">
        <v>6289418.8099999996</v>
      </c>
      <c r="G24" s="62">
        <v>910052314</v>
      </c>
      <c r="H24" s="59" t="s">
        <v>42</v>
      </c>
    </row>
    <row r="25" spans="1:8" outlineLevel="2" x14ac:dyDescent="0.2">
      <c r="A25" s="46">
        <v>42609</v>
      </c>
      <c r="B25" s="54">
        <v>6516950</v>
      </c>
      <c r="C25" s="39" t="s">
        <v>9</v>
      </c>
      <c r="D25" s="45">
        <v>21000</v>
      </c>
      <c r="E25" s="44">
        <v>95563.13</v>
      </c>
      <c r="F25" s="45">
        <v>6474401.7199999997</v>
      </c>
      <c r="G25" s="62">
        <v>910052314</v>
      </c>
      <c r="H25" s="59" t="s">
        <v>42</v>
      </c>
    </row>
    <row r="26" spans="1:8" outlineLevel="2" x14ac:dyDescent="0.2">
      <c r="A26" s="46">
        <v>42570</v>
      </c>
      <c r="B26" s="54">
        <v>6040177</v>
      </c>
      <c r="C26" s="39" t="s">
        <v>9</v>
      </c>
      <c r="D26" s="56">
        <v>26730</v>
      </c>
      <c r="E26" s="41">
        <v>218948.77</v>
      </c>
      <c r="F26" s="42">
        <v>14932306.199999999</v>
      </c>
      <c r="G26" s="63" t="s">
        <v>19</v>
      </c>
      <c r="H26" s="59" t="s">
        <v>42</v>
      </c>
    </row>
    <row r="27" spans="1:8" outlineLevel="2" x14ac:dyDescent="0.2">
      <c r="A27" s="46">
        <v>42690</v>
      </c>
      <c r="B27" s="54">
        <v>7476893</v>
      </c>
      <c r="C27" s="39" t="s">
        <v>9</v>
      </c>
      <c r="D27" s="42">
        <v>1375</v>
      </c>
      <c r="E27" s="41">
        <v>10289.48</v>
      </c>
      <c r="F27" s="42">
        <v>695569</v>
      </c>
      <c r="G27" s="63" t="s">
        <v>19</v>
      </c>
      <c r="H27" s="59" t="s">
        <v>42</v>
      </c>
    </row>
    <row r="28" spans="1:8" outlineLevel="2" x14ac:dyDescent="0.2">
      <c r="A28" s="52" t="s">
        <v>33</v>
      </c>
      <c r="B28" s="52" t="s">
        <v>32</v>
      </c>
      <c r="C28" s="39" t="s">
        <v>9</v>
      </c>
      <c r="D28" s="49">
        <v>3360</v>
      </c>
      <c r="E28" s="49">
        <v>28224</v>
      </c>
      <c r="F28" s="50">
        <v>1941811.2</v>
      </c>
      <c r="G28" s="48" t="s">
        <v>2</v>
      </c>
      <c r="H28" s="60" t="s">
        <v>36</v>
      </c>
    </row>
    <row r="29" spans="1:8" outlineLevel="2" x14ac:dyDescent="0.2">
      <c r="A29" s="52" t="s">
        <v>34</v>
      </c>
      <c r="B29" s="52" t="s">
        <v>35</v>
      </c>
      <c r="C29" s="39" t="s">
        <v>9</v>
      </c>
      <c r="D29" s="49">
        <v>1720</v>
      </c>
      <c r="E29" s="50">
        <v>14448</v>
      </c>
      <c r="F29" s="50">
        <v>975240</v>
      </c>
      <c r="G29" s="48" t="s">
        <v>2</v>
      </c>
      <c r="H29" s="60" t="s">
        <v>36</v>
      </c>
    </row>
    <row r="30" spans="1:8" outlineLevel="2" x14ac:dyDescent="0.2">
      <c r="A30" s="52" t="s">
        <v>40</v>
      </c>
      <c r="B30" s="52" t="s">
        <v>41</v>
      </c>
      <c r="C30" s="39" t="s">
        <v>9</v>
      </c>
      <c r="D30" s="49">
        <v>6222</v>
      </c>
      <c r="E30" s="49">
        <v>47189.99</v>
      </c>
      <c r="F30" s="49">
        <v>3190043</v>
      </c>
      <c r="G30" s="48" t="s">
        <v>16</v>
      </c>
      <c r="H30" s="60" t="s">
        <v>37</v>
      </c>
    </row>
    <row r="31" spans="1:8" outlineLevel="2" x14ac:dyDescent="0.2">
      <c r="A31" s="52" t="s">
        <v>39</v>
      </c>
      <c r="B31" s="52" t="s">
        <v>38</v>
      </c>
      <c r="C31" s="39" t="s">
        <v>9</v>
      </c>
      <c r="D31" s="49">
        <v>5050</v>
      </c>
      <c r="E31" s="49">
        <v>38301.089999999997</v>
      </c>
      <c r="F31" s="50">
        <v>2619794.7999999998</v>
      </c>
      <c r="G31" s="48" t="s">
        <v>16</v>
      </c>
      <c r="H31" s="60" t="s">
        <v>37</v>
      </c>
    </row>
    <row r="32" spans="1:8" outlineLevel="1" x14ac:dyDescent="0.2">
      <c r="A32" s="52"/>
      <c r="B32" s="52"/>
      <c r="C32" s="57" t="s">
        <v>64</v>
      </c>
      <c r="D32" s="49">
        <f>SUBTOTAL(9,D21:D31)</f>
        <v>113351</v>
      </c>
      <c r="E32" s="49">
        <f>SUBTOTAL(9,E21:E31)</f>
        <v>672806.67999999993</v>
      </c>
      <c r="F32" s="50">
        <f>SUBTOTAL(9,F21:F31)</f>
        <v>45527292.609999999</v>
      </c>
      <c r="G32" s="48"/>
      <c r="H32" s="60"/>
    </row>
    <row r="33" spans="1:8" outlineLevel="2" x14ac:dyDescent="0.2">
      <c r="A33" s="46">
        <v>42538</v>
      </c>
      <c r="B33" s="54">
        <v>5665920</v>
      </c>
      <c r="C33" s="43" t="s">
        <v>60</v>
      </c>
      <c r="D33" s="45">
        <v>13950</v>
      </c>
      <c r="E33" s="44">
        <v>2778.16</v>
      </c>
      <c r="F33" s="45">
        <v>189053.89</v>
      </c>
      <c r="G33" s="62">
        <v>910052314</v>
      </c>
      <c r="H33" s="59" t="s">
        <v>56</v>
      </c>
    </row>
    <row r="34" spans="1:8" outlineLevel="1" x14ac:dyDescent="0.2">
      <c r="A34" s="46"/>
      <c r="B34" s="54"/>
      <c r="C34" s="35" t="s">
        <v>65</v>
      </c>
      <c r="D34" s="45">
        <f>SUBTOTAL(9,D33:D33)</f>
        <v>13950</v>
      </c>
      <c r="E34" s="44">
        <f>SUBTOTAL(9,E33:E33)</f>
        <v>2778.16</v>
      </c>
      <c r="F34" s="45">
        <f>SUBTOTAL(9,F33:F33)</f>
        <v>189053.89</v>
      </c>
      <c r="G34" s="62"/>
      <c r="H34" s="59"/>
    </row>
    <row r="35" spans="1:8" outlineLevel="2" x14ac:dyDescent="0.2">
      <c r="A35" s="46">
        <v>42538</v>
      </c>
      <c r="B35" s="54">
        <v>5665920</v>
      </c>
      <c r="C35" s="43" t="s">
        <v>26</v>
      </c>
      <c r="D35" s="45">
        <v>83200</v>
      </c>
      <c r="E35" s="45">
        <v>16569.39</v>
      </c>
      <c r="F35" s="45">
        <v>1127547.2</v>
      </c>
      <c r="G35" s="62">
        <v>910052314</v>
      </c>
      <c r="H35" s="59" t="s">
        <v>56</v>
      </c>
    </row>
    <row r="36" spans="1:8" outlineLevel="1" x14ac:dyDescent="0.2">
      <c r="A36" s="46"/>
      <c r="B36" s="54"/>
      <c r="C36" s="35" t="s">
        <v>66</v>
      </c>
      <c r="D36" s="45">
        <f>SUBTOTAL(9,D35:D35)</f>
        <v>83200</v>
      </c>
      <c r="E36" s="45">
        <f>SUBTOTAL(9,E35:E35)</f>
        <v>16569.39</v>
      </c>
      <c r="F36" s="45">
        <f>SUBTOTAL(9,F35:F35)</f>
        <v>1127547.2</v>
      </c>
      <c r="G36" s="62"/>
      <c r="H36" s="59"/>
    </row>
    <row r="37" spans="1:8" x14ac:dyDescent="0.2">
      <c r="A37" s="46"/>
      <c r="B37" s="54"/>
      <c r="C37" s="35" t="s">
        <v>67</v>
      </c>
      <c r="D37" s="45">
        <f>SUBTOTAL(9,D2:D35)</f>
        <v>744533</v>
      </c>
      <c r="E37" s="45">
        <f>SUBTOTAL(9,E2:E35)</f>
        <v>1380344.9999999998</v>
      </c>
      <c r="F37" s="45">
        <f>SUBTOTAL(9,F2:F35)</f>
        <v>93557846.100000009</v>
      </c>
      <c r="G37" s="62"/>
      <c r="H37" s="59"/>
    </row>
  </sheetData>
  <autoFilter ref="A1:H1" xr:uid="{BD503B56-BCE8-7243-911A-7058C8CC40A2}">
    <sortState xmlns:xlrd2="http://schemas.microsoft.com/office/spreadsheetml/2017/richdata2" ref="A2:H30">
      <sortCondition ref="C1:C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Sottany</dc:creator>
  <cp:lastModifiedBy>Microsoft Office User</cp:lastModifiedBy>
  <dcterms:created xsi:type="dcterms:W3CDTF">2022-01-06T08:11:43Z</dcterms:created>
  <dcterms:modified xsi:type="dcterms:W3CDTF">2022-01-06T11:24:50Z</dcterms:modified>
</cp:coreProperties>
</file>