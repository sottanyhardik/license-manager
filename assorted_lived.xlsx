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diksottany/Developer/lmanagement/"/>
    </mc:Choice>
  </mc:AlternateContent>
  <xr:revisionPtr revIDLastSave="0" documentId="8_{AEA5D489-FD13-0946-85F5-D8D6E2C703A4}" xr6:coauthVersionLast="47" xr6:coauthVersionMax="47" xr10:uidLastSave="{00000000-0000-0000-0000-000000000000}"/>
  <bookViews>
    <workbookView xWindow="1500" yWindow="1320" windowWidth="27640" windowHeight="16840" activeTab="1"/>
  </bookViews>
  <sheets>
    <sheet name="assorted_lived" sheetId="1" r:id="rId1"/>
    <sheet name="Sheet1" sheetId="2" r:id="rId2"/>
  </sheets>
  <definedNames>
    <definedName name="_xlnm._FilterDatabase" localSheetId="0" hidden="1">assorted_lived!$A$1:$AJ$76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2" l="1"/>
  <c r="H12" i="2"/>
  <c r="I9" i="2"/>
  <c r="H9" i="2"/>
  <c r="I8" i="2"/>
  <c r="H8" i="2" s="1"/>
  <c r="I7" i="2"/>
  <c r="H7" i="2" s="1"/>
  <c r="I5" i="2"/>
  <c r="H5" i="2"/>
  <c r="I4" i="2"/>
  <c r="H4" i="2"/>
  <c r="H3" i="2"/>
  <c r="I3" i="2"/>
  <c r="M14" i="2"/>
  <c r="J14" i="2"/>
  <c r="G14" i="2"/>
  <c r="F14" i="2"/>
  <c r="I13" i="2"/>
  <c r="I11" i="2"/>
  <c r="I10" i="2"/>
  <c r="I6" i="2"/>
  <c r="N6" i="2" s="1"/>
  <c r="I2" i="2"/>
  <c r="N2" i="2" s="1"/>
  <c r="L13" i="2"/>
  <c r="N13" i="2" s="1"/>
  <c r="L12" i="2"/>
  <c r="N12" i="2" s="1"/>
  <c r="L11" i="2"/>
  <c r="N11" i="2" s="1"/>
  <c r="L10" i="2"/>
  <c r="N10" i="2" s="1"/>
  <c r="L9" i="2"/>
  <c r="L8" i="2"/>
  <c r="L7" i="2"/>
  <c r="L6" i="2"/>
  <c r="L5" i="2"/>
  <c r="N5" i="2" s="1"/>
  <c r="L4" i="2"/>
  <c r="L3" i="2"/>
  <c r="L2" i="2"/>
  <c r="E14" i="2"/>
  <c r="N3" i="2" l="1"/>
  <c r="N7" i="2"/>
  <c r="N8" i="2"/>
  <c r="N9" i="2"/>
  <c r="L14" i="2"/>
  <c r="N4" i="2" l="1"/>
  <c r="N14" i="2" s="1"/>
  <c r="I14" i="2" l="1"/>
</calcChain>
</file>

<file path=xl/sharedStrings.xml><?xml version="1.0" encoding="utf-8"?>
<sst xmlns="http://schemas.openxmlformats.org/spreadsheetml/2006/main" count="886" uniqueCount="172">
  <si>
    <t>DFIA</t>
  </si>
  <si>
    <t>DFIA DT</t>
  </si>
  <si>
    <t>DFIA EXP</t>
  </si>
  <si>
    <t>Notf No</t>
  </si>
  <si>
    <t>Exporter</t>
  </si>
  <si>
    <t>TOTAL CIF</t>
  </si>
  <si>
    <t>BAL CIF</t>
  </si>
  <si>
    <t>SUGAR QTY</t>
  </si>
  <si>
    <t>HSN SU</t>
  </si>
  <si>
    <t>FF QTY</t>
  </si>
  <si>
    <t>HSN F</t>
  </si>
  <si>
    <t>JUICE Qty</t>
  </si>
  <si>
    <t>HSN Juice</t>
  </si>
  <si>
    <t>TARTARIC Qty</t>
  </si>
  <si>
    <t>HSN TARTARIC</t>
  </si>
  <si>
    <t>ESSENTIAL OIL QTY</t>
  </si>
  <si>
    <t>HSN E</t>
  </si>
  <si>
    <t>VAL 5%</t>
  </si>
  <si>
    <t>VAL 5% Utilized</t>
  </si>
  <si>
    <t>VAL 5% Balance</t>
  </si>
  <si>
    <t>EMULSIFIER QTY</t>
  </si>
  <si>
    <t>HSN EM</t>
  </si>
  <si>
    <t>VAL 3%</t>
  </si>
  <si>
    <t>VAL 3% Utilized</t>
  </si>
  <si>
    <t>VAL 3% Balance</t>
  </si>
  <si>
    <t>Other Qty</t>
  </si>
  <si>
    <t>Other</t>
  </si>
  <si>
    <t>VAL 2%</t>
  </si>
  <si>
    <t>VAL 2% Utilized</t>
  </si>
  <si>
    <t>VAL 2% Balance</t>
  </si>
  <si>
    <t>PP QTY</t>
  </si>
  <si>
    <t>HSN PP</t>
  </si>
  <si>
    <t>Paper &amp; Paper Board</t>
  </si>
  <si>
    <t>HSN PAP</t>
  </si>
  <si>
    <t>Is Individual</t>
  </si>
  <si>
    <t>Is Conversion</t>
  </si>
  <si>
    <t>'0310838326</t>
  </si>
  <si>
    <t>019/2015</t>
  </si>
  <si>
    <t>RAMA EXPORTS</t>
  </si>
  <si>
    <t>'17019990</t>
  </si>
  <si>
    <t>'33021090</t>
  </si>
  <si>
    <t>'20083010</t>
  </si>
  <si>
    <t>'29181400</t>
  </si>
  <si>
    <t>'33011200</t>
  </si>
  <si>
    <t>'29232010</t>
  </si>
  <si>
    <t>'08023100</t>
  </si>
  <si>
    <t>'39021000</t>
  </si>
  <si>
    <t>'48101990</t>
  </si>
  <si>
    <t>'0310838205</t>
  </si>
  <si>
    <t>VANILA FOOD PRO</t>
  </si>
  <si>
    <t>'08061000</t>
  </si>
  <si>
    <t>'20090000</t>
  </si>
  <si>
    <t>'29181200</t>
  </si>
  <si>
    <t>'33021010</t>
  </si>
  <si>
    <t>'11081100</t>
  </si>
  <si>
    <t>'39020000</t>
  </si>
  <si>
    <t>'0310838320</t>
  </si>
  <si>
    <t>'0310838322</t>
  </si>
  <si>
    <t>RANI INTERNATIO</t>
  </si>
  <si>
    <t>'0310838176</t>
  </si>
  <si>
    <t>'0310838099</t>
  </si>
  <si>
    <t>DEEPA INTERNATI</t>
  </si>
  <si>
    <t>'08022200</t>
  </si>
  <si>
    <t>'0310838039</t>
  </si>
  <si>
    <t>'0310838036</t>
  </si>
  <si>
    <t>'0310838034</t>
  </si>
  <si>
    <t>'0310838475</t>
  </si>
  <si>
    <t>VIVA FOOD PRODU</t>
  </si>
  <si>
    <t>'0310838478</t>
  </si>
  <si>
    <t>VIHANG FOOD Ind</t>
  </si>
  <si>
    <t>'08020000</t>
  </si>
  <si>
    <t>'0310838414</t>
  </si>
  <si>
    <t>AASHIRWAD PRODU</t>
  </si>
  <si>
    <t>'17010000</t>
  </si>
  <si>
    <t>'0310838697</t>
  </si>
  <si>
    <t>'39012000</t>
  </si>
  <si>
    <t>'0310838758</t>
  </si>
  <si>
    <t>'0310838869</t>
  </si>
  <si>
    <t>'0310838862</t>
  </si>
  <si>
    <t>CONTINENTAL EXP</t>
  </si>
  <si>
    <t>'0310838037</t>
  </si>
  <si>
    <t>'17011490</t>
  </si>
  <si>
    <t>'15119010</t>
  </si>
  <si>
    <t>'0310839139</t>
  </si>
  <si>
    <t>'0310839125</t>
  </si>
  <si>
    <t>'0310839062</t>
  </si>
  <si>
    <t>'0310838966</t>
  </si>
  <si>
    <t>'0310839116</t>
  </si>
  <si>
    <t>'0310839069</t>
  </si>
  <si>
    <t>'15119020</t>
  </si>
  <si>
    <t>'0310839460</t>
  </si>
  <si>
    <t>'29157030</t>
  </si>
  <si>
    <t>'0310839650</t>
  </si>
  <si>
    <t>NILONS ENTERPRI</t>
  </si>
  <si>
    <t>'17011190</t>
  </si>
  <si>
    <t>'08000000</t>
  </si>
  <si>
    <t>'0310839558</t>
  </si>
  <si>
    <t>'08050000</t>
  </si>
  <si>
    <t>'0310839625</t>
  </si>
  <si>
    <t>'0310839542</t>
  </si>
  <si>
    <t>'0310839541</t>
  </si>
  <si>
    <t>'0311004194</t>
  </si>
  <si>
    <t>PHOENIX IMPEX</t>
  </si>
  <si>
    <t>'09083110</t>
  </si>
  <si>
    <t>'20091100</t>
  </si>
  <si>
    <t>'0311004700</t>
  </si>
  <si>
    <t>SYNERGY FOOD PR</t>
  </si>
  <si>
    <t>'0311002880</t>
  </si>
  <si>
    <t>'0311004734</t>
  </si>
  <si>
    <t>'0311004904</t>
  </si>
  <si>
    <t>'0311004899</t>
  </si>
  <si>
    <t>'0311004902</t>
  </si>
  <si>
    <t>'0311001739</t>
  </si>
  <si>
    <t>ONENESS INTERNA</t>
  </si>
  <si>
    <t>'0311005000</t>
  </si>
  <si>
    <t>'11081200</t>
  </si>
  <si>
    <t>'0311005034</t>
  </si>
  <si>
    <t>SADAF EXPORTS</t>
  </si>
  <si>
    <t>'0311005265</t>
  </si>
  <si>
    <t>'0311005292</t>
  </si>
  <si>
    <t>SHIVAM EXPORTS</t>
  </si>
  <si>
    <t>'0311005309</t>
  </si>
  <si>
    <t>'0311005308</t>
  </si>
  <si>
    <t>'0311005481</t>
  </si>
  <si>
    <t>SHREE BALAJI PR</t>
  </si>
  <si>
    <t>'0311004986</t>
  </si>
  <si>
    <t>MOTWANI INTERNA</t>
  </si>
  <si>
    <t>'0311005544</t>
  </si>
  <si>
    <t>MAGNUM INTERNAT</t>
  </si>
  <si>
    <t>'0311005358</t>
  </si>
  <si>
    <t>'0311005359</t>
  </si>
  <si>
    <t>'0311006172</t>
  </si>
  <si>
    <t>'0311006367</t>
  </si>
  <si>
    <t>'0310743561</t>
  </si>
  <si>
    <t>098/2009</t>
  </si>
  <si>
    <t>GLOBAL ENERGYFO</t>
  </si>
  <si>
    <t>'21060000</t>
  </si>
  <si>
    <t>'0310739587</t>
  </si>
  <si>
    <t>KRISH FOOD INDU</t>
  </si>
  <si>
    <t>'48000000</t>
  </si>
  <si>
    <t>'0310737512</t>
  </si>
  <si>
    <t>'0310721770</t>
  </si>
  <si>
    <t>UNIVERSAL IMPOR</t>
  </si>
  <si>
    <t>'0310721349</t>
  </si>
  <si>
    <t>'28121060</t>
  </si>
  <si>
    <t>'0310741903</t>
  </si>
  <si>
    <t>'0310741899</t>
  </si>
  <si>
    <t>'0310735522</t>
  </si>
  <si>
    <t>'0310731837</t>
  </si>
  <si>
    <t>'0310742814</t>
  </si>
  <si>
    <t>'0311007151</t>
  </si>
  <si>
    <t>MULTY FOOD PROD</t>
  </si>
  <si>
    <t>'09083190</t>
  </si>
  <si>
    <t>'20091900</t>
  </si>
  <si>
    <t>'0311007211</t>
  </si>
  <si>
    <t>'0310683023</t>
  </si>
  <si>
    <t>'0311008560</t>
  </si>
  <si>
    <t>'0311008660</t>
  </si>
  <si>
    <t>'0310665248</t>
  </si>
  <si>
    <t>'0311008763</t>
  </si>
  <si>
    <t>SPEED EXPORTS</t>
  </si>
  <si>
    <t>'0311006570</t>
  </si>
  <si>
    <t>'0311009150</t>
  </si>
  <si>
    <t>'0311009149</t>
  </si>
  <si>
    <t>'0311009709</t>
  </si>
  <si>
    <t>'0311009882</t>
  </si>
  <si>
    <t>'0311009883</t>
  </si>
  <si>
    <t>'0311010038</t>
  </si>
  <si>
    <t>'0311010062</t>
  </si>
  <si>
    <t>Unit Price $</t>
  </si>
  <si>
    <t>JUICE $</t>
  </si>
  <si>
    <t>BALANCE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</si>
</sst>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43" fontId="0" fillId="0" borderId="0" xfId="1" applyFont="1"/>
    <xf numFmtId="0" fontId="16" fillId="0" borderId="10" xfId="0" applyFont="1" applyBorder="1"/>
    <xf numFmtId="43" fontId="16" fillId="0" borderId="10" xfId="1" applyFont="1" applyBorder="1"/>
    <xf numFmtId="0" fontId="0" fillId="0" borderId="10" xfId="0" applyBorder="1"/>
    <xf numFmtId="14" fontId="0" fillId="0" borderId="10" xfId="0" applyNumberFormat="1" applyBorder="1"/>
    <xf numFmtId="43" fontId="0" fillId="0" borderId="10" xfId="1" applyFont="1" applyBorder="1"/>
    <xf numFmtId="43" fontId="16" fillId="0" borderId="10" xfId="0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J76"/>
  <sheetViews>
    <sheetView workbookViewId="0">
      <selection sqref="A1:AJ67"/>
    </sheetView>
  </sheetViews>
  <sheetFormatPr baseColWidth="10" defaultRowHeight="16" x14ac:dyDescent="0.2"/>
  <cols>
    <col min="1" max="1" width="11.6640625" bestFit="1" customWidth="1"/>
    <col min="2" max="3" width="8.83203125" bestFit="1" customWidth="1"/>
    <col min="4" max="4" width="9" bestFit="1" customWidth="1"/>
    <col min="5" max="5" width="18.83203125" bestFit="1" customWidth="1"/>
    <col min="6" max="7" width="12" style="2" bestFit="1" customWidth="1"/>
    <col min="8" max="8" width="12.33203125" style="2" bestFit="1" customWidth="1"/>
    <col min="9" max="9" width="11" style="2" bestFit="1" customWidth="1"/>
    <col min="10" max="10" width="9.5" style="2" bestFit="1" customWidth="1"/>
    <col min="11" max="11" width="11" style="2" bestFit="1" customWidth="1"/>
    <col min="12" max="12" width="12" style="2" bestFit="1" customWidth="1"/>
    <col min="13" max="13" width="11" style="2" bestFit="1" customWidth="1"/>
    <col min="14" max="14" width="14" style="2" bestFit="1" customWidth="1"/>
    <col min="15" max="15" width="14.6640625" style="2" bestFit="1" customWidth="1"/>
    <col min="16" max="16" width="18.5" style="2" bestFit="1" customWidth="1"/>
    <col min="17" max="17" width="11" style="2" bestFit="1" customWidth="1"/>
    <col min="18" max="18" width="10.5" style="2" bestFit="1" customWidth="1"/>
    <col min="19" max="19" width="15.5" style="2" bestFit="1" customWidth="1"/>
    <col min="20" max="20" width="15.6640625" style="2" bestFit="1" customWidth="1"/>
    <col min="21" max="21" width="16.5" style="2" bestFit="1" customWidth="1"/>
    <col min="22" max="22" width="11" style="2" bestFit="1" customWidth="1"/>
    <col min="23" max="23" width="10.5" style="2" bestFit="1" customWidth="1"/>
    <col min="24" max="24" width="15.5" style="2" bestFit="1" customWidth="1"/>
    <col min="25" max="25" width="15.6640625" style="2" bestFit="1" customWidth="1"/>
    <col min="26" max="26" width="10.5" style="2" bestFit="1" customWidth="1"/>
    <col min="27" max="27" width="11" style="2" bestFit="1" customWidth="1"/>
    <col min="28" max="28" width="10.5" style="2" bestFit="1" customWidth="1"/>
    <col min="29" max="29" width="15.5" style="2" bestFit="1" customWidth="1"/>
    <col min="30" max="30" width="15.6640625" style="2" bestFit="1" customWidth="1"/>
    <col min="31" max="31" width="10.5" style="2" bestFit="1" customWidth="1"/>
    <col min="32" max="32" width="11" style="2" bestFit="1" customWidth="1"/>
    <col min="33" max="33" width="19.6640625" style="2" bestFit="1" customWidth="1"/>
    <col min="34" max="34" width="11" style="2" bestFit="1" customWidth="1"/>
    <col min="35" max="35" width="12.1640625" style="2" bestFit="1" customWidth="1"/>
    <col min="36" max="36" width="13.1640625" style="2" bestFit="1" customWidth="1"/>
  </cols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idden="1" x14ac:dyDescent="0.2">
      <c r="A2" t="s">
        <v>36</v>
      </c>
      <c r="B2" s="1">
        <v>44090</v>
      </c>
      <c r="C2" s="1">
        <v>44469</v>
      </c>
      <c r="D2" t="s">
        <v>37</v>
      </c>
      <c r="E2" t="s">
        <v>38</v>
      </c>
      <c r="F2" s="2">
        <v>155230.26999999999</v>
      </c>
      <c r="G2" s="2">
        <v>144338</v>
      </c>
      <c r="H2" s="2">
        <v>109470</v>
      </c>
      <c r="I2" s="2" t="s">
        <v>39</v>
      </c>
      <c r="J2" s="2">
        <v>182</v>
      </c>
      <c r="K2" s="2" t="s">
        <v>40</v>
      </c>
      <c r="L2" s="2">
        <v>27367</v>
      </c>
      <c r="M2" s="2" t="s">
        <v>41</v>
      </c>
      <c r="N2" s="2">
        <v>5473</v>
      </c>
      <c r="O2" s="2" t="s">
        <v>42</v>
      </c>
      <c r="P2" s="2">
        <v>912</v>
      </c>
      <c r="Q2" s="2" t="s">
        <v>43</v>
      </c>
      <c r="R2" s="2">
        <v>7761</v>
      </c>
      <c r="S2" s="2">
        <v>0</v>
      </c>
      <c r="T2" s="2">
        <v>7761</v>
      </c>
      <c r="U2" s="2">
        <v>182</v>
      </c>
      <c r="V2" s="2" t="s">
        <v>44</v>
      </c>
      <c r="W2" s="2">
        <v>4656</v>
      </c>
      <c r="X2" s="2">
        <v>0</v>
      </c>
      <c r="Y2" s="2">
        <v>4656</v>
      </c>
      <c r="Z2" s="2">
        <v>7603</v>
      </c>
      <c r="AA2" s="2" t="s">
        <v>45</v>
      </c>
      <c r="AB2" s="2">
        <v>3104</v>
      </c>
      <c r="AC2" s="2">
        <v>3083</v>
      </c>
      <c r="AD2" s="2">
        <v>21</v>
      </c>
      <c r="AE2" s="2">
        <v>0</v>
      </c>
      <c r="AF2" s="2" t="s">
        <v>46</v>
      </c>
      <c r="AG2" s="2">
        <v>4834</v>
      </c>
      <c r="AH2" s="2" t="s">
        <v>47</v>
      </c>
      <c r="AI2" s="2" t="b">
        <v>0</v>
      </c>
    </row>
    <row r="3" spans="1:36" hidden="1" x14ac:dyDescent="0.2">
      <c r="A3" t="s">
        <v>48</v>
      </c>
      <c r="B3" s="1">
        <v>44084</v>
      </c>
      <c r="C3" s="1">
        <v>44469</v>
      </c>
      <c r="D3" t="s">
        <v>37</v>
      </c>
      <c r="E3" t="s">
        <v>49</v>
      </c>
      <c r="F3" s="2">
        <v>352608.21</v>
      </c>
      <c r="G3" s="2">
        <v>322760</v>
      </c>
      <c r="H3" s="2">
        <v>281823</v>
      </c>
      <c r="I3" s="2" t="s">
        <v>39</v>
      </c>
      <c r="J3" s="2">
        <v>469</v>
      </c>
      <c r="K3" s="2" t="s">
        <v>50</v>
      </c>
      <c r="L3" s="2">
        <v>70455</v>
      </c>
      <c r="M3" s="2" t="s">
        <v>51</v>
      </c>
      <c r="N3" s="2">
        <v>14091</v>
      </c>
      <c r="O3" s="2" t="s">
        <v>52</v>
      </c>
      <c r="P3" s="2">
        <v>2348</v>
      </c>
      <c r="Q3" s="2" t="s">
        <v>53</v>
      </c>
      <c r="R3" s="2">
        <v>17630</v>
      </c>
      <c r="S3" s="2">
        <v>0</v>
      </c>
      <c r="T3" s="2">
        <v>17630</v>
      </c>
      <c r="U3" s="2">
        <v>469</v>
      </c>
      <c r="V3" s="2" t="s">
        <v>54</v>
      </c>
      <c r="W3" s="2">
        <v>10578</v>
      </c>
      <c r="X3" s="2">
        <v>0</v>
      </c>
      <c r="Y3" s="2">
        <v>10578</v>
      </c>
      <c r="Z3" s="2">
        <v>19988</v>
      </c>
      <c r="AA3" s="2" t="s">
        <v>45</v>
      </c>
      <c r="AB3" s="2">
        <v>7052</v>
      </c>
      <c r="AC3" s="2">
        <v>6855</v>
      </c>
      <c r="AD3" s="2">
        <v>197</v>
      </c>
      <c r="AE3" s="2">
        <v>0</v>
      </c>
      <c r="AF3" s="2" t="s">
        <v>55</v>
      </c>
      <c r="AI3" s="2" t="b">
        <v>0</v>
      </c>
    </row>
    <row r="4" spans="1:36" hidden="1" x14ac:dyDescent="0.2">
      <c r="A4" t="s">
        <v>56</v>
      </c>
      <c r="B4" s="1">
        <v>44090</v>
      </c>
      <c r="C4" s="1">
        <v>44469</v>
      </c>
      <c r="D4" t="s">
        <v>37</v>
      </c>
      <c r="E4" t="s">
        <v>38</v>
      </c>
      <c r="F4" s="2">
        <v>267506.08</v>
      </c>
      <c r="G4" s="2">
        <v>145514</v>
      </c>
      <c r="H4" s="2">
        <v>184749</v>
      </c>
      <c r="I4" s="2" t="s">
        <v>39</v>
      </c>
      <c r="J4" s="2">
        <v>307</v>
      </c>
      <c r="K4" s="2" t="s">
        <v>40</v>
      </c>
      <c r="L4" s="2">
        <v>46187</v>
      </c>
      <c r="M4" s="2" t="s">
        <v>51</v>
      </c>
      <c r="N4" s="2">
        <v>9237</v>
      </c>
      <c r="O4" s="2" t="s">
        <v>42</v>
      </c>
      <c r="P4" s="2">
        <v>1272</v>
      </c>
      <c r="Q4" s="2" t="s">
        <v>43</v>
      </c>
      <c r="R4" s="2">
        <v>13375</v>
      </c>
      <c r="S4" s="2">
        <v>1681</v>
      </c>
      <c r="T4" s="2">
        <v>11694</v>
      </c>
      <c r="U4" s="2">
        <v>307</v>
      </c>
      <c r="V4" s="2" t="s">
        <v>44</v>
      </c>
      <c r="W4" s="2">
        <v>8025</v>
      </c>
      <c r="X4" s="2">
        <v>0</v>
      </c>
      <c r="Y4" s="2">
        <v>8025</v>
      </c>
      <c r="Z4" s="2">
        <v>12730</v>
      </c>
      <c r="AA4" s="2" t="s">
        <v>45</v>
      </c>
      <c r="AB4" s="2">
        <v>5350</v>
      </c>
      <c r="AC4" s="2">
        <v>5330</v>
      </c>
      <c r="AD4" s="2">
        <v>20</v>
      </c>
      <c r="AE4" s="2">
        <v>0</v>
      </c>
      <c r="AF4" s="2" t="s">
        <v>46</v>
      </c>
      <c r="AG4" s="2">
        <v>8150</v>
      </c>
      <c r="AH4" s="2" t="s">
        <v>47</v>
      </c>
      <c r="AI4" s="2" t="b">
        <v>0</v>
      </c>
    </row>
    <row r="5" spans="1:36" hidden="1" x14ac:dyDescent="0.2">
      <c r="A5" t="s">
        <v>57</v>
      </c>
      <c r="B5" s="1">
        <v>44090</v>
      </c>
      <c r="C5" s="1">
        <v>44469</v>
      </c>
      <c r="D5" t="s">
        <v>37</v>
      </c>
      <c r="E5" t="s">
        <v>58</v>
      </c>
      <c r="F5" s="2">
        <v>134399.81</v>
      </c>
      <c r="G5" s="2">
        <v>118689</v>
      </c>
      <c r="H5" s="2">
        <v>102675</v>
      </c>
      <c r="I5" s="2" t="s">
        <v>39</v>
      </c>
      <c r="J5" s="2">
        <v>171</v>
      </c>
      <c r="K5" s="2" t="s">
        <v>40</v>
      </c>
      <c r="L5" s="2">
        <v>25668</v>
      </c>
      <c r="M5" s="2" t="s">
        <v>51</v>
      </c>
      <c r="N5" s="2">
        <v>5133</v>
      </c>
      <c r="O5" s="2" t="s">
        <v>42</v>
      </c>
      <c r="P5" s="2">
        <v>0</v>
      </c>
      <c r="Q5" s="2" t="s">
        <v>43</v>
      </c>
      <c r="R5" s="2">
        <v>6719</v>
      </c>
      <c r="S5" s="2">
        <v>5383</v>
      </c>
      <c r="T5" s="2">
        <v>1336</v>
      </c>
      <c r="U5" s="2">
        <v>171</v>
      </c>
      <c r="V5" s="2" t="s">
        <v>44</v>
      </c>
      <c r="W5" s="2">
        <v>4031</v>
      </c>
      <c r="X5" s="2">
        <v>0</v>
      </c>
      <c r="Y5" s="2">
        <v>4031</v>
      </c>
      <c r="Z5" s="2">
        <v>7221</v>
      </c>
      <c r="AA5" s="2" t="s">
        <v>45</v>
      </c>
      <c r="AB5" s="2">
        <v>2687</v>
      </c>
      <c r="AC5" s="2">
        <v>2670</v>
      </c>
      <c r="AD5" s="2">
        <v>17</v>
      </c>
      <c r="AE5" s="2">
        <v>0</v>
      </c>
      <c r="AF5" s="2" t="s">
        <v>46</v>
      </c>
      <c r="AG5" s="2">
        <v>4534</v>
      </c>
      <c r="AH5" s="2" t="s">
        <v>47</v>
      </c>
      <c r="AI5" s="2" t="b">
        <v>0</v>
      </c>
    </row>
    <row r="6" spans="1:36" hidden="1" x14ac:dyDescent="0.2">
      <c r="A6" t="s">
        <v>59</v>
      </c>
      <c r="B6" s="1">
        <v>44083</v>
      </c>
      <c r="C6" s="1">
        <v>44469</v>
      </c>
      <c r="D6" t="s">
        <v>37</v>
      </c>
      <c r="E6" t="s">
        <v>58</v>
      </c>
      <c r="F6" s="2">
        <v>123146.64</v>
      </c>
      <c r="G6" s="2">
        <v>108129</v>
      </c>
      <c r="H6" s="2">
        <v>98949</v>
      </c>
      <c r="I6" s="2" t="s">
        <v>39</v>
      </c>
      <c r="J6" s="2">
        <v>164</v>
      </c>
      <c r="K6" s="2" t="s">
        <v>40</v>
      </c>
      <c r="L6" s="2">
        <v>24737</v>
      </c>
      <c r="M6" s="2" t="s">
        <v>51</v>
      </c>
      <c r="N6" s="2">
        <v>4947</v>
      </c>
      <c r="O6" s="2" t="s">
        <v>42</v>
      </c>
      <c r="P6" s="2">
        <v>0</v>
      </c>
      <c r="Q6" s="2" t="s">
        <v>43</v>
      </c>
      <c r="R6" s="2">
        <v>6157</v>
      </c>
      <c r="S6" s="2">
        <v>5188</v>
      </c>
      <c r="T6" s="2">
        <v>969</v>
      </c>
      <c r="U6" s="2">
        <v>164</v>
      </c>
      <c r="V6" s="2" t="s">
        <v>44</v>
      </c>
      <c r="W6" s="2">
        <v>3694</v>
      </c>
      <c r="X6" s="2">
        <v>0</v>
      </c>
      <c r="Y6" s="2">
        <v>3694</v>
      </c>
      <c r="Z6" s="2">
        <v>7020</v>
      </c>
      <c r="AA6" s="2" t="s">
        <v>45</v>
      </c>
      <c r="AB6" s="2">
        <v>2462</v>
      </c>
      <c r="AC6" s="2">
        <v>2450</v>
      </c>
      <c r="AD6" s="2">
        <v>12</v>
      </c>
      <c r="AE6" s="2">
        <v>0</v>
      </c>
      <c r="AF6" s="2" t="s">
        <v>46</v>
      </c>
      <c r="AG6" s="2">
        <v>4370</v>
      </c>
      <c r="AH6" s="2" t="s">
        <v>47</v>
      </c>
      <c r="AI6" s="2" t="b">
        <v>0</v>
      </c>
    </row>
    <row r="7" spans="1:36" hidden="1" x14ac:dyDescent="0.2">
      <c r="A7" t="s">
        <v>60</v>
      </c>
      <c r="B7" s="1">
        <v>44078</v>
      </c>
      <c r="C7" s="1">
        <v>44469</v>
      </c>
      <c r="D7" t="s">
        <v>37</v>
      </c>
      <c r="E7" t="s">
        <v>61</v>
      </c>
      <c r="F7" s="2">
        <v>45822.93</v>
      </c>
      <c r="G7" s="2">
        <v>41526</v>
      </c>
      <c r="H7" s="2">
        <v>28814</v>
      </c>
      <c r="I7" s="2" t="s">
        <v>39</v>
      </c>
      <c r="J7" s="2">
        <v>48</v>
      </c>
      <c r="K7" s="2" t="s">
        <v>62</v>
      </c>
      <c r="L7" s="2">
        <v>7203</v>
      </c>
      <c r="M7" s="2" t="s">
        <v>51</v>
      </c>
      <c r="N7" s="2">
        <v>1440</v>
      </c>
      <c r="O7" s="2" t="s">
        <v>52</v>
      </c>
      <c r="P7" s="2">
        <v>240</v>
      </c>
      <c r="Q7" s="2" t="s">
        <v>53</v>
      </c>
      <c r="R7" s="2">
        <v>2291</v>
      </c>
      <c r="S7" s="2">
        <v>0</v>
      </c>
      <c r="T7" s="2">
        <v>2291</v>
      </c>
      <c r="U7" s="2">
        <v>48</v>
      </c>
      <c r="V7" s="2" t="s">
        <v>54</v>
      </c>
      <c r="W7" s="2">
        <v>1374</v>
      </c>
      <c r="X7" s="2">
        <v>0</v>
      </c>
      <c r="Y7" s="2">
        <v>1374</v>
      </c>
      <c r="Z7" s="2">
        <v>2401</v>
      </c>
      <c r="AA7" s="2" t="s">
        <v>62</v>
      </c>
      <c r="AB7" s="2">
        <v>916</v>
      </c>
      <c r="AC7" s="2">
        <v>0</v>
      </c>
      <c r="AD7" s="2">
        <v>916</v>
      </c>
      <c r="AE7" s="2">
        <v>0</v>
      </c>
      <c r="AF7" s="2" t="s">
        <v>55</v>
      </c>
      <c r="AI7" s="2" t="b">
        <v>0</v>
      </c>
    </row>
    <row r="8" spans="1:36" hidden="1" x14ac:dyDescent="0.2">
      <c r="A8" t="s">
        <v>63</v>
      </c>
      <c r="B8" s="1">
        <v>44075</v>
      </c>
      <c r="C8" s="1">
        <v>44469</v>
      </c>
      <c r="D8" t="s">
        <v>37</v>
      </c>
      <c r="E8" t="s">
        <v>58</v>
      </c>
      <c r="F8" s="2">
        <v>151262.85999999999</v>
      </c>
      <c r="G8" s="2">
        <v>129927</v>
      </c>
      <c r="H8" s="2">
        <v>113495</v>
      </c>
      <c r="I8" s="2" t="s">
        <v>39</v>
      </c>
      <c r="J8" s="2">
        <v>189</v>
      </c>
      <c r="K8" s="2" t="s">
        <v>40</v>
      </c>
      <c r="L8" s="2">
        <v>28373</v>
      </c>
      <c r="M8" s="2" t="s">
        <v>51</v>
      </c>
      <c r="N8" s="2">
        <v>5674</v>
      </c>
      <c r="O8" s="2" t="s">
        <v>42</v>
      </c>
      <c r="P8" s="2">
        <v>0</v>
      </c>
      <c r="Q8" s="2" t="s">
        <v>43</v>
      </c>
      <c r="R8" s="2">
        <v>7563</v>
      </c>
      <c r="S8" s="2">
        <v>5950</v>
      </c>
      <c r="T8" s="2">
        <v>1613</v>
      </c>
      <c r="U8" s="2">
        <v>189</v>
      </c>
      <c r="V8" s="2" t="s">
        <v>44</v>
      </c>
      <c r="W8" s="2">
        <v>4537</v>
      </c>
      <c r="X8" s="2">
        <v>0</v>
      </c>
      <c r="Y8" s="2">
        <v>4537</v>
      </c>
      <c r="Z8" s="2">
        <v>7952</v>
      </c>
      <c r="AA8" s="2" t="s">
        <v>45</v>
      </c>
      <c r="AB8" s="2">
        <v>3025</v>
      </c>
      <c r="AC8" s="2">
        <v>3010</v>
      </c>
      <c r="AD8" s="2">
        <v>15</v>
      </c>
      <c r="AE8" s="2">
        <v>0</v>
      </c>
      <c r="AF8" s="2" t="s">
        <v>46</v>
      </c>
      <c r="AG8" s="2">
        <v>5012</v>
      </c>
      <c r="AH8" s="2" t="s">
        <v>47</v>
      </c>
      <c r="AI8" s="2" t="b">
        <v>0</v>
      </c>
    </row>
    <row r="9" spans="1:36" hidden="1" x14ac:dyDescent="0.2">
      <c r="A9" t="s">
        <v>64</v>
      </c>
      <c r="B9" s="1">
        <v>44075</v>
      </c>
      <c r="C9" s="1">
        <v>44469</v>
      </c>
      <c r="D9" t="s">
        <v>37</v>
      </c>
      <c r="E9" t="s">
        <v>58</v>
      </c>
      <c r="F9" s="2">
        <v>164098.82</v>
      </c>
      <c r="G9" s="2">
        <v>148489</v>
      </c>
      <c r="H9" s="2">
        <v>117466</v>
      </c>
      <c r="I9" s="2" t="s">
        <v>39</v>
      </c>
      <c r="J9" s="2">
        <v>195</v>
      </c>
      <c r="K9" s="2" t="s">
        <v>40</v>
      </c>
      <c r="L9" s="2">
        <v>29366</v>
      </c>
      <c r="M9" s="2" t="s">
        <v>51</v>
      </c>
      <c r="N9" s="2">
        <v>5873</v>
      </c>
      <c r="O9" s="2" t="s">
        <v>42</v>
      </c>
      <c r="P9" s="2">
        <v>609</v>
      </c>
      <c r="Q9" s="2" t="s">
        <v>43</v>
      </c>
      <c r="R9" s="2">
        <v>8204</v>
      </c>
      <c r="S9" s="2">
        <v>2323</v>
      </c>
      <c r="T9" s="2">
        <v>5881</v>
      </c>
      <c r="U9" s="2">
        <v>195</v>
      </c>
      <c r="V9" s="2" t="s">
        <v>44</v>
      </c>
      <c r="W9" s="2">
        <v>4922</v>
      </c>
      <c r="X9" s="2">
        <v>0</v>
      </c>
      <c r="Y9" s="2">
        <v>4922</v>
      </c>
      <c r="Z9" s="2">
        <v>8153</v>
      </c>
      <c r="AA9" s="2" t="s">
        <v>45</v>
      </c>
      <c r="AB9" s="2">
        <v>3281</v>
      </c>
      <c r="AC9" s="2">
        <v>3270</v>
      </c>
      <c r="AD9" s="2">
        <v>11</v>
      </c>
      <c r="AE9" s="2">
        <v>0</v>
      </c>
      <c r="AF9" s="2" t="s">
        <v>46</v>
      </c>
      <c r="AG9" s="2">
        <v>5188</v>
      </c>
      <c r="AH9" s="2" t="s">
        <v>47</v>
      </c>
      <c r="AI9" s="2" t="b">
        <v>0</v>
      </c>
    </row>
    <row r="10" spans="1:36" hidden="1" x14ac:dyDescent="0.2">
      <c r="A10" t="s">
        <v>65</v>
      </c>
      <c r="B10" s="1">
        <v>44075</v>
      </c>
      <c r="C10" s="1">
        <v>44469</v>
      </c>
      <c r="D10" t="s">
        <v>37</v>
      </c>
      <c r="E10" t="s">
        <v>38</v>
      </c>
      <c r="F10" s="2">
        <v>190347.89</v>
      </c>
      <c r="G10" s="2">
        <v>167782</v>
      </c>
      <c r="H10" s="2">
        <v>138281</v>
      </c>
      <c r="I10" s="2" t="s">
        <v>39</v>
      </c>
      <c r="J10" s="2">
        <v>230</v>
      </c>
      <c r="K10" s="2" t="s">
        <v>40</v>
      </c>
      <c r="L10" s="2">
        <v>34570</v>
      </c>
      <c r="M10" s="2" t="s">
        <v>51</v>
      </c>
      <c r="N10" s="2">
        <v>6914</v>
      </c>
      <c r="O10" s="2" t="s">
        <v>42</v>
      </c>
      <c r="P10" s="2">
        <v>0</v>
      </c>
      <c r="Q10" s="2" t="s">
        <v>43</v>
      </c>
      <c r="R10" s="2">
        <v>9517</v>
      </c>
      <c r="S10" s="2">
        <v>7253</v>
      </c>
      <c r="T10" s="2">
        <v>2264</v>
      </c>
      <c r="W10" s="2">
        <v>5710</v>
      </c>
      <c r="X10" s="2">
        <v>0</v>
      </c>
      <c r="Y10" s="2">
        <v>5710</v>
      </c>
      <c r="Z10" s="2">
        <v>9628</v>
      </c>
      <c r="AA10" s="2" t="s">
        <v>45</v>
      </c>
      <c r="AB10" s="2">
        <v>3806</v>
      </c>
      <c r="AC10" s="2">
        <v>3790</v>
      </c>
      <c r="AD10" s="2">
        <v>16</v>
      </c>
      <c r="AE10" s="2">
        <v>0</v>
      </c>
      <c r="AF10" s="2" t="s">
        <v>46</v>
      </c>
      <c r="AG10" s="2">
        <v>6107</v>
      </c>
      <c r="AH10" s="2" t="s">
        <v>47</v>
      </c>
      <c r="AI10" s="2" t="b">
        <v>1</v>
      </c>
    </row>
    <row r="11" spans="1:36" hidden="1" x14ac:dyDescent="0.2">
      <c r="A11" t="s">
        <v>66</v>
      </c>
      <c r="B11" s="1">
        <v>44099</v>
      </c>
      <c r="C11" s="1">
        <v>44469</v>
      </c>
      <c r="D11" t="s">
        <v>37</v>
      </c>
      <c r="E11" t="s">
        <v>67</v>
      </c>
      <c r="F11" s="2">
        <v>324989.71999999997</v>
      </c>
      <c r="G11" s="2">
        <v>301836</v>
      </c>
      <c r="H11" s="2">
        <v>253691</v>
      </c>
      <c r="I11" s="2" t="s">
        <v>39</v>
      </c>
      <c r="J11" s="2">
        <v>422</v>
      </c>
      <c r="K11" s="2" t="s">
        <v>50</v>
      </c>
      <c r="L11" s="2">
        <v>63422</v>
      </c>
      <c r="M11" s="2" t="s">
        <v>51</v>
      </c>
      <c r="N11" s="2">
        <v>12684</v>
      </c>
      <c r="O11" s="2" t="s">
        <v>52</v>
      </c>
      <c r="P11" s="2">
        <v>2114</v>
      </c>
      <c r="Q11" s="2" t="s">
        <v>53</v>
      </c>
      <c r="R11" s="2">
        <v>16249</v>
      </c>
      <c r="S11" s="2">
        <v>0</v>
      </c>
      <c r="T11" s="2">
        <v>16249</v>
      </c>
      <c r="W11" s="2">
        <v>9749</v>
      </c>
      <c r="X11" s="2">
        <v>0</v>
      </c>
      <c r="Y11" s="2">
        <v>9749</v>
      </c>
      <c r="Z11" s="2">
        <v>17923</v>
      </c>
      <c r="AA11" s="2" t="s">
        <v>45</v>
      </c>
      <c r="AB11" s="2">
        <v>6499</v>
      </c>
      <c r="AC11" s="2">
        <v>6478</v>
      </c>
      <c r="AD11" s="2">
        <v>21</v>
      </c>
      <c r="AE11" s="2">
        <v>0</v>
      </c>
      <c r="AF11" s="2" t="s">
        <v>46</v>
      </c>
      <c r="AI11" s="2" t="b">
        <v>0</v>
      </c>
    </row>
    <row r="12" spans="1:36" hidden="1" x14ac:dyDescent="0.2">
      <c r="A12" t="s">
        <v>68</v>
      </c>
      <c r="B12" s="1">
        <v>44099</v>
      </c>
      <c r="C12" s="1">
        <v>44469</v>
      </c>
      <c r="D12" t="s">
        <v>37</v>
      </c>
      <c r="E12" t="s">
        <v>69</v>
      </c>
      <c r="F12" s="2">
        <v>118381.08</v>
      </c>
      <c r="G12" s="2">
        <v>108009</v>
      </c>
      <c r="H12" s="2">
        <v>91031</v>
      </c>
      <c r="I12" s="2" t="s">
        <v>39</v>
      </c>
      <c r="J12" s="2">
        <v>151</v>
      </c>
      <c r="K12" s="2" t="s">
        <v>62</v>
      </c>
      <c r="L12" s="2">
        <v>22757</v>
      </c>
      <c r="M12" s="2" t="s">
        <v>51</v>
      </c>
      <c r="N12" s="2">
        <v>4551</v>
      </c>
      <c r="O12" s="2" t="s">
        <v>52</v>
      </c>
      <c r="P12" s="2">
        <v>758</v>
      </c>
      <c r="Q12" s="2" t="s">
        <v>53</v>
      </c>
      <c r="R12" s="2">
        <v>5919</v>
      </c>
      <c r="S12" s="2">
        <v>0</v>
      </c>
      <c r="T12" s="2">
        <v>5919</v>
      </c>
      <c r="W12" s="2">
        <v>3551</v>
      </c>
      <c r="X12" s="2">
        <v>0</v>
      </c>
      <c r="Y12" s="2">
        <v>3551</v>
      </c>
      <c r="Z12" s="2">
        <v>6428</v>
      </c>
      <c r="AA12" s="2" t="s">
        <v>70</v>
      </c>
      <c r="AB12" s="2">
        <v>2367</v>
      </c>
      <c r="AC12" s="2">
        <v>2348</v>
      </c>
      <c r="AD12" s="2">
        <v>19</v>
      </c>
      <c r="AE12" s="2">
        <v>0</v>
      </c>
      <c r="AF12" s="2" t="s">
        <v>55</v>
      </c>
      <c r="AI12" s="2" t="b">
        <v>0</v>
      </c>
    </row>
    <row r="13" spans="1:36" hidden="1" x14ac:dyDescent="0.2">
      <c r="A13" t="s">
        <v>71</v>
      </c>
      <c r="B13" s="1">
        <v>44096</v>
      </c>
      <c r="C13" s="1">
        <v>44469</v>
      </c>
      <c r="D13" t="s">
        <v>37</v>
      </c>
      <c r="E13" t="s">
        <v>72</v>
      </c>
      <c r="F13" s="2">
        <v>199948.48</v>
      </c>
      <c r="G13" s="2">
        <v>182795</v>
      </c>
      <c r="H13" s="2">
        <v>118014</v>
      </c>
      <c r="I13" s="2" t="s">
        <v>73</v>
      </c>
      <c r="J13" s="2">
        <v>196</v>
      </c>
      <c r="K13" s="2" t="s">
        <v>70</v>
      </c>
      <c r="L13" s="2">
        <v>29503</v>
      </c>
      <c r="M13" s="2" t="s">
        <v>51</v>
      </c>
      <c r="N13" s="2">
        <v>5900</v>
      </c>
      <c r="O13" s="2" t="s">
        <v>52</v>
      </c>
      <c r="P13" s="2">
        <v>983</v>
      </c>
      <c r="Q13" s="2" t="s">
        <v>53</v>
      </c>
      <c r="R13" s="2">
        <v>9997</v>
      </c>
      <c r="S13" s="2">
        <v>0</v>
      </c>
      <c r="T13" s="2">
        <v>9997</v>
      </c>
      <c r="W13" s="2">
        <v>5998</v>
      </c>
      <c r="X13" s="2">
        <v>0</v>
      </c>
      <c r="Y13" s="2">
        <v>5998</v>
      </c>
      <c r="Z13" s="2">
        <v>7875</v>
      </c>
      <c r="AA13" s="2" t="s">
        <v>70</v>
      </c>
      <c r="AB13" s="2">
        <v>3998</v>
      </c>
      <c r="AC13" s="2">
        <v>3787</v>
      </c>
      <c r="AD13" s="2">
        <v>211</v>
      </c>
      <c r="AE13" s="2">
        <v>0</v>
      </c>
      <c r="AF13" s="2" t="s">
        <v>55</v>
      </c>
      <c r="AI13" s="2" t="b">
        <v>0</v>
      </c>
    </row>
    <row r="14" spans="1:36" hidden="1" x14ac:dyDescent="0.2">
      <c r="A14" t="s">
        <v>74</v>
      </c>
      <c r="B14" s="1">
        <v>44109</v>
      </c>
      <c r="C14" s="1">
        <v>44500</v>
      </c>
      <c r="D14" t="s">
        <v>37</v>
      </c>
      <c r="E14" t="s">
        <v>38</v>
      </c>
      <c r="F14" s="2">
        <v>171726.6</v>
      </c>
      <c r="G14" s="2">
        <v>155995</v>
      </c>
      <c r="H14" s="2">
        <v>129638</v>
      </c>
      <c r="I14" s="2" t="s">
        <v>39</v>
      </c>
      <c r="J14" s="2">
        <v>216</v>
      </c>
      <c r="K14" s="2" t="s">
        <v>53</v>
      </c>
      <c r="L14" s="2">
        <v>32409</v>
      </c>
      <c r="M14" s="2" t="s">
        <v>51</v>
      </c>
      <c r="N14" s="2">
        <v>6481</v>
      </c>
      <c r="O14" s="2" t="s">
        <v>52</v>
      </c>
      <c r="P14" s="2">
        <v>1080</v>
      </c>
      <c r="Q14" s="2" t="s">
        <v>53</v>
      </c>
      <c r="R14" s="2">
        <v>8586</v>
      </c>
      <c r="S14" s="2">
        <v>0</v>
      </c>
      <c r="T14" s="2">
        <v>8586</v>
      </c>
      <c r="W14" s="2">
        <v>5151</v>
      </c>
      <c r="X14" s="2">
        <v>0</v>
      </c>
      <c r="Y14" s="2">
        <v>5151</v>
      </c>
      <c r="Z14" s="2">
        <v>9121</v>
      </c>
      <c r="AA14" s="2" t="s">
        <v>45</v>
      </c>
      <c r="AB14" s="2">
        <v>3434</v>
      </c>
      <c r="AC14" s="2">
        <v>3413</v>
      </c>
      <c r="AD14" s="2">
        <v>21</v>
      </c>
      <c r="AE14" s="2">
        <v>0</v>
      </c>
      <c r="AF14" s="2" t="s">
        <v>75</v>
      </c>
      <c r="AG14" s="2">
        <v>18666</v>
      </c>
      <c r="AH14" s="2" t="s">
        <v>47</v>
      </c>
      <c r="AI14" s="2" t="b">
        <v>0</v>
      </c>
    </row>
    <row r="15" spans="1:36" hidden="1" x14ac:dyDescent="0.2">
      <c r="A15" t="s">
        <v>76</v>
      </c>
      <c r="B15" s="1">
        <v>44111</v>
      </c>
      <c r="C15" s="1">
        <v>44500</v>
      </c>
      <c r="D15" t="s">
        <v>37</v>
      </c>
      <c r="E15" t="s">
        <v>58</v>
      </c>
      <c r="F15" s="2">
        <v>401855.03</v>
      </c>
      <c r="G15" s="2">
        <v>377203</v>
      </c>
      <c r="H15" s="2">
        <v>305628</v>
      </c>
      <c r="I15" s="2" t="s">
        <v>39</v>
      </c>
      <c r="J15" s="2">
        <v>509</v>
      </c>
      <c r="K15" s="2" t="s">
        <v>40</v>
      </c>
      <c r="L15" s="2">
        <v>76407</v>
      </c>
      <c r="M15" s="2" t="s">
        <v>51</v>
      </c>
      <c r="N15" s="2">
        <v>15281</v>
      </c>
      <c r="O15" s="2" t="s">
        <v>52</v>
      </c>
      <c r="P15" s="2">
        <v>2546</v>
      </c>
      <c r="Q15" s="2" t="s">
        <v>53</v>
      </c>
      <c r="R15" s="2">
        <v>20092</v>
      </c>
      <c r="S15" s="2">
        <v>0</v>
      </c>
      <c r="T15" s="2">
        <v>20092</v>
      </c>
      <c r="U15" s="2">
        <v>509</v>
      </c>
      <c r="V15" s="2" t="s">
        <v>44</v>
      </c>
      <c r="W15" s="2">
        <v>12055</v>
      </c>
      <c r="X15" s="2">
        <v>0</v>
      </c>
      <c r="Y15" s="2">
        <v>12055</v>
      </c>
      <c r="Z15" s="2">
        <v>25102</v>
      </c>
      <c r="AA15" s="2" t="s">
        <v>45</v>
      </c>
      <c r="AB15" s="2">
        <v>8037</v>
      </c>
      <c r="AC15" s="2">
        <v>698</v>
      </c>
      <c r="AD15" s="2">
        <v>7339</v>
      </c>
      <c r="AE15" s="2">
        <v>0</v>
      </c>
      <c r="AF15" s="2" t="s">
        <v>46</v>
      </c>
      <c r="AG15" s="2">
        <v>13498</v>
      </c>
      <c r="AH15" s="2" t="s">
        <v>47</v>
      </c>
      <c r="AI15" s="2" t="b">
        <v>0</v>
      </c>
    </row>
    <row r="16" spans="1:36" hidden="1" x14ac:dyDescent="0.2">
      <c r="A16" t="s">
        <v>77</v>
      </c>
      <c r="B16" s="1">
        <v>44118</v>
      </c>
      <c r="C16" s="1">
        <v>44500</v>
      </c>
      <c r="D16" t="s">
        <v>37</v>
      </c>
      <c r="E16" t="s">
        <v>49</v>
      </c>
      <c r="F16" s="2">
        <v>281844</v>
      </c>
      <c r="G16" s="2">
        <v>260681</v>
      </c>
      <c r="H16" s="2">
        <v>212236</v>
      </c>
      <c r="I16" s="2" t="s">
        <v>39</v>
      </c>
      <c r="J16" s="2">
        <v>353</v>
      </c>
      <c r="K16" s="2" t="s">
        <v>70</v>
      </c>
      <c r="L16" s="2">
        <v>53059</v>
      </c>
      <c r="M16" s="2" t="s">
        <v>51</v>
      </c>
      <c r="N16" s="2">
        <v>10611</v>
      </c>
      <c r="O16" s="2" t="s">
        <v>52</v>
      </c>
      <c r="P16" s="2">
        <v>1768</v>
      </c>
      <c r="Q16" s="2" t="s">
        <v>53</v>
      </c>
      <c r="R16" s="2">
        <v>14092</v>
      </c>
      <c r="S16" s="2">
        <v>0</v>
      </c>
      <c r="T16" s="2">
        <v>14092</v>
      </c>
      <c r="W16" s="2">
        <v>8455</v>
      </c>
      <c r="X16" s="2">
        <v>0</v>
      </c>
      <c r="Y16" s="2">
        <v>8455</v>
      </c>
      <c r="Z16" s="2">
        <v>14921</v>
      </c>
      <c r="AA16" s="2" t="s">
        <v>70</v>
      </c>
      <c r="AB16" s="2">
        <v>5636</v>
      </c>
      <c r="AC16" s="2">
        <v>5611</v>
      </c>
      <c r="AD16" s="2">
        <v>25</v>
      </c>
      <c r="AE16" s="2">
        <v>0</v>
      </c>
      <c r="AF16" s="2" t="s">
        <v>46</v>
      </c>
      <c r="AI16" s="2" t="b">
        <v>0</v>
      </c>
    </row>
    <row r="17" spans="1:35" hidden="1" x14ac:dyDescent="0.2">
      <c r="A17" t="s">
        <v>78</v>
      </c>
      <c r="B17" s="1">
        <v>44118</v>
      </c>
      <c r="C17" s="1">
        <v>44483</v>
      </c>
      <c r="D17" t="s">
        <v>37</v>
      </c>
      <c r="E17" t="s">
        <v>79</v>
      </c>
      <c r="F17" s="2">
        <v>256192.82</v>
      </c>
      <c r="G17" s="2">
        <v>241799</v>
      </c>
      <c r="H17" s="2">
        <v>181936</v>
      </c>
      <c r="I17" s="2" t="s">
        <v>39</v>
      </c>
      <c r="J17" s="2">
        <v>303</v>
      </c>
      <c r="K17" s="2" t="s">
        <v>45</v>
      </c>
      <c r="L17" s="2">
        <v>45484</v>
      </c>
      <c r="M17" s="2" t="s">
        <v>51</v>
      </c>
      <c r="N17" s="2">
        <v>9096</v>
      </c>
      <c r="O17" s="2" t="s">
        <v>52</v>
      </c>
      <c r="P17" s="2">
        <v>1516</v>
      </c>
      <c r="Q17" s="2" t="s">
        <v>53</v>
      </c>
      <c r="R17" s="2">
        <v>12809</v>
      </c>
      <c r="S17" s="2">
        <v>0</v>
      </c>
      <c r="T17" s="2">
        <v>12809</v>
      </c>
      <c r="W17" s="2">
        <v>7685</v>
      </c>
      <c r="X17" s="2">
        <v>0</v>
      </c>
      <c r="Y17" s="2">
        <v>7685</v>
      </c>
      <c r="Z17" s="2">
        <v>12649</v>
      </c>
      <c r="AA17" s="2" t="s">
        <v>45</v>
      </c>
      <c r="AB17" s="2">
        <v>5123</v>
      </c>
      <c r="AC17" s="2">
        <v>5098</v>
      </c>
      <c r="AD17" s="2">
        <v>25</v>
      </c>
      <c r="AE17" s="2">
        <v>0</v>
      </c>
      <c r="AF17" s="2" t="s">
        <v>55</v>
      </c>
      <c r="AI17" s="2" t="b">
        <v>0</v>
      </c>
    </row>
    <row r="18" spans="1:35" hidden="1" x14ac:dyDescent="0.2">
      <c r="A18" t="s">
        <v>80</v>
      </c>
      <c r="B18" s="1">
        <v>44075</v>
      </c>
      <c r="C18" s="1">
        <v>44469</v>
      </c>
      <c r="D18" t="s">
        <v>37</v>
      </c>
      <c r="E18" t="s">
        <v>58</v>
      </c>
      <c r="F18" s="2">
        <v>134070</v>
      </c>
      <c r="G18" s="2">
        <v>134070</v>
      </c>
      <c r="H18" s="2">
        <v>94902</v>
      </c>
      <c r="I18" s="2" t="s">
        <v>81</v>
      </c>
      <c r="J18" s="2">
        <v>0</v>
      </c>
      <c r="K18" s="2" t="s">
        <v>40</v>
      </c>
      <c r="L18" s="2">
        <v>0</v>
      </c>
      <c r="M18" s="2" t="s">
        <v>41</v>
      </c>
      <c r="N18" s="2">
        <v>4745</v>
      </c>
      <c r="O18" s="2" t="s">
        <v>52</v>
      </c>
      <c r="P18" s="2">
        <v>790</v>
      </c>
      <c r="Q18" s="2" t="s">
        <v>53</v>
      </c>
      <c r="R18" s="2">
        <v>6703</v>
      </c>
      <c r="S18" s="2">
        <v>0</v>
      </c>
      <c r="T18" s="2">
        <v>6703</v>
      </c>
      <c r="U18" s="2">
        <v>158</v>
      </c>
      <c r="V18" s="2" t="s">
        <v>44</v>
      </c>
      <c r="W18" s="2">
        <v>4022</v>
      </c>
      <c r="X18" s="2">
        <v>0</v>
      </c>
      <c r="Y18" s="2">
        <v>4022</v>
      </c>
      <c r="Z18" s="2">
        <v>0</v>
      </c>
      <c r="AA18" s="2" t="s">
        <v>82</v>
      </c>
      <c r="AB18" s="2">
        <v>2681</v>
      </c>
      <c r="AC18" s="2">
        <v>0</v>
      </c>
      <c r="AD18" s="2">
        <v>2681</v>
      </c>
      <c r="AE18" s="2">
        <v>0</v>
      </c>
      <c r="AF18" s="2" t="s">
        <v>46</v>
      </c>
      <c r="AG18" s="2">
        <v>0</v>
      </c>
      <c r="AH18" s="2" t="s">
        <v>47</v>
      </c>
      <c r="AI18" s="2" t="b">
        <v>0</v>
      </c>
    </row>
    <row r="19" spans="1:35" hidden="1" x14ac:dyDescent="0.2">
      <c r="A19" t="s">
        <v>83</v>
      </c>
      <c r="B19" s="1">
        <v>44130</v>
      </c>
      <c r="C19" s="1">
        <v>44500</v>
      </c>
      <c r="D19" t="s">
        <v>37</v>
      </c>
      <c r="E19" t="s">
        <v>58</v>
      </c>
      <c r="F19" s="2">
        <v>170065.37</v>
      </c>
      <c r="G19" s="2">
        <v>154670</v>
      </c>
      <c r="H19" s="2">
        <v>126466</v>
      </c>
      <c r="I19" s="2" t="s">
        <v>39</v>
      </c>
      <c r="J19" s="2">
        <v>210</v>
      </c>
      <c r="K19" s="2" t="s">
        <v>53</v>
      </c>
      <c r="L19" s="2">
        <v>31616</v>
      </c>
      <c r="M19" s="2" t="s">
        <v>51</v>
      </c>
      <c r="N19" s="2">
        <v>6323</v>
      </c>
      <c r="O19" s="2" t="s">
        <v>52</v>
      </c>
      <c r="P19" s="2">
        <v>1053</v>
      </c>
      <c r="Q19" s="2" t="s">
        <v>53</v>
      </c>
      <c r="R19" s="2">
        <v>8503</v>
      </c>
      <c r="S19" s="2">
        <v>0</v>
      </c>
      <c r="T19" s="2">
        <v>8503</v>
      </c>
      <c r="W19" s="2">
        <v>5101</v>
      </c>
      <c r="X19" s="2">
        <v>0</v>
      </c>
      <c r="Y19" s="2">
        <v>5101</v>
      </c>
      <c r="Z19" s="2">
        <v>8873</v>
      </c>
      <c r="AA19" s="2" t="s">
        <v>45</v>
      </c>
      <c r="AB19" s="2">
        <v>3401</v>
      </c>
      <c r="AC19" s="2">
        <v>3379</v>
      </c>
      <c r="AD19" s="2">
        <v>22</v>
      </c>
      <c r="AE19" s="2">
        <v>0</v>
      </c>
      <c r="AF19" s="2" t="s">
        <v>75</v>
      </c>
      <c r="AG19" s="2">
        <v>18210</v>
      </c>
      <c r="AH19" s="2" t="s">
        <v>47</v>
      </c>
      <c r="AI19" s="2" t="b">
        <v>0</v>
      </c>
    </row>
    <row r="20" spans="1:35" hidden="1" x14ac:dyDescent="0.2">
      <c r="A20" t="s">
        <v>84</v>
      </c>
      <c r="B20" s="1">
        <v>44130</v>
      </c>
      <c r="C20" s="1">
        <v>44500</v>
      </c>
      <c r="D20" t="s">
        <v>37</v>
      </c>
      <c r="E20" t="s">
        <v>38</v>
      </c>
      <c r="F20" s="2">
        <v>292572.98</v>
      </c>
      <c r="G20" s="2">
        <v>268407</v>
      </c>
      <c r="H20" s="2">
        <v>221330</v>
      </c>
      <c r="I20" s="2" t="s">
        <v>39</v>
      </c>
      <c r="J20" s="2">
        <v>368</v>
      </c>
      <c r="K20" s="2" t="s">
        <v>50</v>
      </c>
      <c r="L20" s="2">
        <v>55332</v>
      </c>
      <c r="M20" s="2" t="s">
        <v>51</v>
      </c>
      <c r="N20" s="2">
        <v>11066</v>
      </c>
      <c r="O20" s="2" t="s">
        <v>52</v>
      </c>
      <c r="P20" s="2">
        <v>1844</v>
      </c>
      <c r="Q20" s="2" t="s">
        <v>53</v>
      </c>
      <c r="R20" s="2">
        <v>14628</v>
      </c>
      <c r="S20" s="2">
        <v>0</v>
      </c>
      <c r="T20" s="2">
        <v>14628</v>
      </c>
      <c r="W20" s="2">
        <v>8777</v>
      </c>
      <c r="X20" s="2">
        <v>0</v>
      </c>
      <c r="Y20" s="2">
        <v>8777</v>
      </c>
      <c r="Z20" s="2">
        <v>15575</v>
      </c>
      <c r="AA20" s="2" t="s">
        <v>45</v>
      </c>
      <c r="AB20" s="2">
        <v>5851</v>
      </c>
      <c r="AC20" s="2">
        <v>5822</v>
      </c>
      <c r="AD20" s="2">
        <v>29</v>
      </c>
      <c r="AE20" s="2">
        <v>0</v>
      </c>
      <c r="AF20" s="2" t="s">
        <v>46</v>
      </c>
      <c r="AG20" s="2">
        <v>9775</v>
      </c>
      <c r="AH20" s="2" t="s">
        <v>47</v>
      </c>
      <c r="AI20" s="2" t="b">
        <v>0</v>
      </c>
    </row>
    <row r="21" spans="1:35" hidden="1" x14ac:dyDescent="0.2">
      <c r="A21" t="s">
        <v>85</v>
      </c>
      <c r="B21" s="1">
        <v>44126</v>
      </c>
      <c r="C21" s="1">
        <v>44500</v>
      </c>
      <c r="D21" t="s">
        <v>37</v>
      </c>
      <c r="E21" t="s">
        <v>38</v>
      </c>
      <c r="F21" s="2">
        <v>203599.95</v>
      </c>
      <c r="G21" s="2">
        <v>188263</v>
      </c>
      <c r="H21" s="2">
        <v>142281</v>
      </c>
      <c r="I21" s="2" t="s">
        <v>39</v>
      </c>
      <c r="J21" s="2">
        <v>237</v>
      </c>
      <c r="K21" s="2" t="s">
        <v>44</v>
      </c>
      <c r="L21" s="2">
        <v>35570</v>
      </c>
      <c r="M21" s="2" t="s">
        <v>51</v>
      </c>
      <c r="N21" s="2">
        <v>7114</v>
      </c>
      <c r="O21" s="2" t="s">
        <v>42</v>
      </c>
      <c r="P21" s="2">
        <v>1185</v>
      </c>
      <c r="Q21" s="2" t="s">
        <v>53</v>
      </c>
      <c r="R21" s="2">
        <v>10179</v>
      </c>
      <c r="S21" s="2">
        <v>0</v>
      </c>
      <c r="T21" s="2">
        <v>10179</v>
      </c>
      <c r="W21" s="2">
        <v>6107</v>
      </c>
      <c r="X21" s="2">
        <v>0</v>
      </c>
      <c r="Y21" s="2">
        <v>6107</v>
      </c>
      <c r="Z21" s="2">
        <v>9861</v>
      </c>
      <c r="AA21" s="2" t="s">
        <v>45</v>
      </c>
      <c r="AB21" s="2">
        <v>4071</v>
      </c>
      <c r="AC21" s="2">
        <v>4049</v>
      </c>
      <c r="AD21" s="2">
        <v>22</v>
      </c>
      <c r="AE21" s="2">
        <v>0</v>
      </c>
      <c r="AF21" s="2" t="s">
        <v>46</v>
      </c>
      <c r="AG21" s="2">
        <v>6284</v>
      </c>
      <c r="AH21" s="2" t="s">
        <v>47</v>
      </c>
      <c r="AI21" s="2" t="b">
        <v>0</v>
      </c>
    </row>
    <row r="22" spans="1:35" hidden="1" x14ac:dyDescent="0.2">
      <c r="A22" t="s">
        <v>86</v>
      </c>
      <c r="B22" s="1">
        <v>44123</v>
      </c>
      <c r="C22" s="1">
        <v>44500</v>
      </c>
      <c r="D22" t="s">
        <v>37</v>
      </c>
      <c r="E22" t="s">
        <v>58</v>
      </c>
      <c r="F22" s="2">
        <v>154802.46</v>
      </c>
      <c r="G22" s="2">
        <v>140433</v>
      </c>
      <c r="H22" s="2">
        <v>118864</v>
      </c>
      <c r="I22" s="2" t="s">
        <v>39</v>
      </c>
      <c r="J22" s="2">
        <v>198</v>
      </c>
      <c r="K22" s="2" t="s">
        <v>53</v>
      </c>
      <c r="L22" s="2">
        <v>29716</v>
      </c>
      <c r="M22" s="2" t="s">
        <v>51</v>
      </c>
      <c r="N22" s="2">
        <v>5943</v>
      </c>
      <c r="O22" s="2" t="s">
        <v>52</v>
      </c>
      <c r="P22" s="2">
        <v>990</v>
      </c>
      <c r="Q22" s="2" t="s">
        <v>53</v>
      </c>
      <c r="R22" s="2">
        <v>7740</v>
      </c>
      <c r="S22" s="2">
        <v>0</v>
      </c>
      <c r="T22" s="2">
        <v>7740</v>
      </c>
      <c r="W22" s="2">
        <v>4644</v>
      </c>
      <c r="X22" s="2">
        <v>0</v>
      </c>
      <c r="Y22" s="2">
        <v>4644</v>
      </c>
      <c r="Z22" s="2">
        <v>8390</v>
      </c>
      <c r="AA22" s="2" t="s">
        <v>45</v>
      </c>
      <c r="AB22" s="2">
        <v>3096</v>
      </c>
      <c r="AC22" s="2">
        <v>3074</v>
      </c>
      <c r="AD22" s="2">
        <v>22</v>
      </c>
      <c r="AE22" s="2">
        <v>0</v>
      </c>
      <c r="AF22" s="2" t="s">
        <v>75</v>
      </c>
      <c r="AG22" s="2">
        <v>17116</v>
      </c>
      <c r="AH22" s="2" t="s">
        <v>47</v>
      </c>
      <c r="AI22" s="2" t="b">
        <v>0</v>
      </c>
    </row>
    <row r="23" spans="1:35" hidden="1" x14ac:dyDescent="0.2">
      <c r="A23" t="s">
        <v>87</v>
      </c>
      <c r="B23" s="1">
        <v>44130</v>
      </c>
      <c r="C23" s="1">
        <v>44500</v>
      </c>
      <c r="D23" t="s">
        <v>37</v>
      </c>
      <c r="E23" t="s">
        <v>58</v>
      </c>
      <c r="F23" s="2">
        <v>205848.4</v>
      </c>
      <c r="G23" s="2">
        <v>153115</v>
      </c>
      <c r="H23" s="2">
        <v>142507</v>
      </c>
      <c r="I23" s="2" t="s">
        <v>39</v>
      </c>
      <c r="J23" s="2">
        <v>250</v>
      </c>
      <c r="K23" s="2" t="s">
        <v>53</v>
      </c>
      <c r="L23" s="2">
        <v>37576</v>
      </c>
      <c r="M23" s="2" t="s">
        <v>51</v>
      </c>
      <c r="N23" s="2">
        <v>7515</v>
      </c>
      <c r="O23" s="2" t="s">
        <v>52</v>
      </c>
      <c r="P23" s="2">
        <v>1252</v>
      </c>
      <c r="Q23" s="2" t="s">
        <v>53</v>
      </c>
      <c r="R23" s="2">
        <v>10292</v>
      </c>
      <c r="S23" s="2">
        <v>0</v>
      </c>
      <c r="T23" s="2">
        <v>10292</v>
      </c>
      <c r="W23" s="2">
        <v>6175</v>
      </c>
      <c r="X23" s="2">
        <v>0</v>
      </c>
      <c r="Y23" s="2">
        <v>6175</v>
      </c>
      <c r="Z23" s="2">
        <v>10508</v>
      </c>
      <c r="AA23" s="2" t="s">
        <v>45</v>
      </c>
      <c r="AB23" s="2">
        <v>4116</v>
      </c>
      <c r="AC23" s="2">
        <v>4093</v>
      </c>
      <c r="AD23" s="2">
        <v>23</v>
      </c>
      <c r="AE23" s="2">
        <v>0</v>
      </c>
      <c r="AF23" s="2" t="s">
        <v>46</v>
      </c>
      <c r="AG23" s="2">
        <v>21668</v>
      </c>
      <c r="AH23" s="2" t="s">
        <v>47</v>
      </c>
      <c r="AI23" s="2" t="b">
        <v>0</v>
      </c>
    </row>
    <row r="24" spans="1:35" hidden="1" x14ac:dyDescent="0.2">
      <c r="A24" t="s">
        <v>88</v>
      </c>
      <c r="B24" s="1">
        <v>44126</v>
      </c>
      <c r="C24" s="1">
        <v>44500</v>
      </c>
      <c r="D24" t="s">
        <v>37</v>
      </c>
      <c r="E24" t="s">
        <v>38</v>
      </c>
      <c r="F24" s="2">
        <v>143538.57999999999</v>
      </c>
      <c r="G24" s="2">
        <v>143539</v>
      </c>
      <c r="H24" s="2">
        <v>97572</v>
      </c>
      <c r="I24" s="2" t="s">
        <v>39</v>
      </c>
      <c r="J24" s="2">
        <v>0</v>
      </c>
      <c r="K24" s="2" t="s">
        <v>53</v>
      </c>
      <c r="L24" s="2">
        <v>0</v>
      </c>
      <c r="M24" s="2" t="s">
        <v>41</v>
      </c>
      <c r="N24" s="2">
        <v>0</v>
      </c>
      <c r="O24" s="2" t="s">
        <v>52</v>
      </c>
      <c r="P24" s="2">
        <v>813</v>
      </c>
      <c r="Q24" s="2" t="s">
        <v>53</v>
      </c>
      <c r="R24" s="2">
        <v>7176</v>
      </c>
      <c r="S24" s="2">
        <v>0</v>
      </c>
      <c r="T24" s="2">
        <v>7176</v>
      </c>
      <c r="W24" s="2">
        <v>4306</v>
      </c>
      <c r="X24" s="2">
        <v>0</v>
      </c>
      <c r="Y24" s="2">
        <v>4306</v>
      </c>
      <c r="Z24" s="2">
        <v>0</v>
      </c>
      <c r="AA24" s="2" t="s">
        <v>89</v>
      </c>
      <c r="AB24" s="2">
        <v>2870</v>
      </c>
      <c r="AC24" s="2">
        <v>0</v>
      </c>
      <c r="AD24" s="2">
        <v>2870</v>
      </c>
      <c r="AE24" s="2">
        <v>0</v>
      </c>
      <c r="AF24" s="2" t="s">
        <v>46</v>
      </c>
      <c r="AG24" s="2">
        <v>0</v>
      </c>
      <c r="AH24" s="2" t="s">
        <v>47</v>
      </c>
      <c r="AI24" s="2" t="b">
        <v>1</v>
      </c>
    </row>
    <row r="25" spans="1:35" hidden="1" x14ac:dyDescent="0.2">
      <c r="A25" t="s">
        <v>90</v>
      </c>
      <c r="B25" s="1">
        <v>44145</v>
      </c>
      <c r="C25" s="1">
        <v>44530</v>
      </c>
      <c r="D25" t="s">
        <v>37</v>
      </c>
      <c r="E25" t="s">
        <v>58</v>
      </c>
      <c r="F25" s="2">
        <v>66162.94</v>
      </c>
      <c r="G25" s="2">
        <v>66163</v>
      </c>
      <c r="H25" s="2">
        <v>44616</v>
      </c>
      <c r="I25" s="2" t="s">
        <v>39</v>
      </c>
      <c r="J25" s="2">
        <v>74</v>
      </c>
      <c r="K25" s="2" t="s">
        <v>53</v>
      </c>
      <c r="L25" s="2">
        <v>11154</v>
      </c>
      <c r="M25" s="2" t="s">
        <v>51</v>
      </c>
      <c r="N25" s="2">
        <v>2230</v>
      </c>
      <c r="O25" s="2" t="s">
        <v>42</v>
      </c>
      <c r="P25" s="2">
        <v>891</v>
      </c>
      <c r="Q25" s="2" t="s">
        <v>43</v>
      </c>
      <c r="R25" s="2">
        <v>3308</v>
      </c>
      <c r="S25" s="2">
        <v>0</v>
      </c>
      <c r="T25" s="2">
        <v>3308</v>
      </c>
      <c r="U25" s="2">
        <v>74</v>
      </c>
      <c r="V25" s="2" t="s">
        <v>91</v>
      </c>
      <c r="W25" s="2">
        <v>1984</v>
      </c>
      <c r="X25" s="2">
        <v>0</v>
      </c>
      <c r="Y25" s="2">
        <v>1984</v>
      </c>
      <c r="Z25" s="2">
        <v>3717</v>
      </c>
      <c r="AA25" s="2" t="s">
        <v>70</v>
      </c>
      <c r="AB25" s="2">
        <v>1323</v>
      </c>
      <c r="AC25" s="2">
        <v>0</v>
      </c>
      <c r="AD25" s="2">
        <v>1323</v>
      </c>
      <c r="AE25" s="2">
        <v>3717</v>
      </c>
      <c r="AF25" s="2" t="s">
        <v>75</v>
      </c>
      <c r="AG25" s="2">
        <v>6423</v>
      </c>
      <c r="AH25" s="2" t="s">
        <v>47</v>
      </c>
      <c r="AI25" s="2" t="b">
        <v>0</v>
      </c>
    </row>
    <row r="26" spans="1:35" hidden="1" x14ac:dyDescent="0.2">
      <c r="A26" t="s">
        <v>92</v>
      </c>
      <c r="B26" s="1">
        <v>44155</v>
      </c>
      <c r="C26" s="1">
        <v>44530</v>
      </c>
      <c r="D26" t="s">
        <v>37</v>
      </c>
      <c r="E26" t="s">
        <v>93</v>
      </c>
      <c r="F26" s="2">
        <v>388930</v>
      </c>
      <c r="G26" s="2">
        <v>336201</v>
      </c>
      <c r="H26" s="2">
        <v>201736</v>
      </c>
      <c r="I26" s="2" t="s">
        <v>94</v>
      </c>
      <c r="J26" s="2">
        <v>469</v>
      </c>
      <c r="K26" s="2" t="s">
        <v>53</v>
      </c>
      <c r="L26" s="2">
        <v>70434</v>
      </c>
      <c r="M26" s="2" t="s">
        <v>41</v>
      </c>
      <c r="N26" s="2">
        <v>14086</v>
      </c>
      <c r="O26" s="2" t="s">
        <v>52</v>
      </c>
      <c r="R26" s="2">
        <v>19446</v>
      </c>
      <c r="S26" s="2">
        <v>0</v>
      </c>
      <c r="T26" s="2">
        <v>19446</v>
      </c>
      <c r="W26" s="2">
        <v>11667</v>
      </c>
      <c r="X26" s="2">
        <v>0</v>
      </c>
      <c r="Y26" s="2">
        <v>11667</v>
      </c>
      <c r="Z26" s="2">
        <v>19662</v>
      </c>
      <c r="AA26" s="2" t="s">
        <v>95</v>
      </c>
      <c r="AB26" s="2">
        <v>7778</v>
      </c>
      <c r="AC26" s="2">
        <v>7744</v>
      </c>
      <c r="AD26" s="2">
        <v>34</v>
      </c>
      <c r="AE26" s="2">
        <v>0</v>
      </c>
      <c r="AF26" s="2" t="s">
        <v>55</v>
      </c>
      <c r="AI26" s="2" t="b">
        <v>0</v>
      </c>
    </row>
    <row r="27" spans="1:35" hidden="1" x14ac:dyDescent="0.2">
      <c r="A27" t="s">
        <v>96</v>
      </c>
      <c r="B27" s="1">
        <v>44148</v>
      </c>
      <c r="C27" s="1">
        <v>44530</v>
      </c>
      <c r="D27" t="s">
        <v>37</v>
      </c>
      <c r="E27" t="s">
        <v>49</v>
      </c>
      <c r="F27" s="2">
        <v>656917.11</v>
      </c>
      <c r="G27" s="2">
        <v>601564</v>
      </c>
      <c r="H27" s="2">
        <v>485175</v>
      </c>
      <c r="I27" s="2" t="s">
        <v>39</v>
      </c>
      <c r="J27" s="2">
        <v>808</v>
      </c>
      <c r="K27" s="2" t="s">
        <v>50</v>
      </c>
      <c r="L27" s="2">
        <v>121293</v>
      </c>
      <c r="M27" s="2" t="s">
        <v>97</v>
      </c>
      <c r="N27" s="2">
        <v>24258</v>
      </c>
      <c r="O27" s="2" t="s">
        <v>52</v>
      </c>
      <c r="P27" s="2">
        <v>4043</v>
      </c>
      <c r="Q27" s="2" t="s">
        <v>53</v>
      </c>
      <c r="R27" s="2">
        <v>32845</v>
      </c>
      <c r="S27" s="2">
        <v>0</v>
      </c>
      <c r="T27" s="2">
        <v>32845</v>
      </c>
      <c r="W27" s="2">
        <v>19707</v>
      </c>
      <c r="X27" s="2">
        <v>0</v>
      </c>
      <c r="Y27" s="2">
        <v>19707</v>
      </c>
      <c r="Z27" s="2">
        <v>40431</v>
      </c>
      <c r="AA27" s="2" t="s">
        <v>89</v>
      </c>
      <c r="AB27" s="2">
        <v>13138</v>
      </c>
      <c r="AC27" s="2">
        <v>0</v>
      </c>
      <c r="AD27" s="2">
        <v>13138</v>
      </c>
      <c r="AE27" s="2">
        <v>0</v>
      </c>
      <c r="AF27" s="2" t="s">
        <v>46</v>
      </c>
      <c r="AI27" s="2" t="b">
        <v>0</v>
      </c>
    </row>
    <row r="28" spans="1:35" hidden="1" x14ac:dyDescent="0.2">
      <c r="A28" t="s">
        <v>98</v>
      </c>
      <c r="B28" s="1">
        <v>44154</v>
      </c>
      <c r="C28" s="1">
        <v>44530</v>
      </c>
      <c r="D28" t="s">
        <v>37</v>
      </c>
      <c r="E28" t="s">
        <v>58</v>
      </c>
      <c r="F28" s="2">
        <v>651246.19999999995</v>
      </c>
      <c r="G28" s="2">
        <v>592568</v>
      </c>
      <c r="H28" s="2">
        <v>491061</v>
      </c>
      <c r="I28" s="2" t="s">
        <v>39</v>
      </c>
      <c r="J28" s="2">
        <v>818</v>
      </c>
      <c r="K28" s="2" t="s">
        <v>53</v>
      </c>
      <c r="L28" s="2">
        <v>122765</v>
      </c>
      <c r="M28" s="2" t="s">
        <v>51</v>
      </c>
      <c r="N28" s="2">
        <v>24553</v>
      </c>
      <c r="O28" s="2" t="s">
        <v>52</v>
      </c>
      <c r="P28" s="2">
        <v>9819</v>
      </c>
      <c r="Q28" s="2" t="s">
        <v>53</v>
      </c>
      <c r="R28" s="2">
        <v>32562</v>
      </c>
      <c r="S28" s="2">
        <v>0</v>
      </c>
      <c r="T28" s="2">
        <v>32562</v>
      </c>
      <c r="U28" s="2">
        <v>818</v>
      </c>
      <c r="V28" s="2" t="s">
        <v>91</v>
      </c>
      <c r="W28" s="2">
        <v>19537</v>
      </c>
      <c r="X28" s="2">
        <v>0</v>
      </c>
      <c r="Y28" s="2">
        <v>19537</v>
      </c>
      <c r="Z28" s="2">
        <v>34527</v>
      </c>
      <c r="AA28" s="2" t="s">
        <v>70</v>
      </c>
      <c r="AB28" s="2">
        <v>13024</v>
      </c>
      <c r="AC28" s="2">
        <v>12976</v>
      </c>
      <c r="AD28" s="2">
        <v>48</v>
      </c>
      <c r="AE28" s="2">
        <v>842</v>
      </c>
      <c r="AF28" s="2" t="s">
        <v>75</v>
      </c>
      <c r="AG28" s="2">
        <v>70712</v>
      </c>
      <c r="AH28" s="2" t="s">
        <v>47</v>
      </c>
      <c r="AI28" s="2" t="b">
        <v>0</v>
      </c>
    </row>
    <row r="29" spans="1:35" hidden="1" x14ac:dyDescent="0.2">
      <c r="A29" t="s">
        <v>99</v>
      </c>
      <c r="B29" s="1">
        <v>44148</v>
      </c>
      <c r="C29" s="1">
        <v>44530</v>
      </c>
      <c r="D29" t="s">
        <v>37</v>
      </c>
      <c r="E29" t="s">
        <v>58</v>
      </c>
      <c r="F29" s="2">
        <v>173187.95</v>
      </c>
      <c r="G29" s="2">
        <v>133103</v>
      </c>
      <c r="H29" s="2">
        <v>1</v>
      </c>
      <c r="I29" s="2" t="s">
        <v>39</v>
      </c>
      <c r="J29" s="2">
        <v>202</v>
      </c>
      <c r="K29" s="2" t="s">
        <v>53</v>
      </c>
      <c r="L29" s="2">
        <v>30367</v>
      </c>
      <c r="M29" s="2" t="s">
        <v>41</v>
      </c>
      <c r="N29" s="2">
        <v>6073</v>
      </c>
      <c r="O29" s="2" t="s">
        <v>52</v>
      </c>
      <c r="P29" s="2">
        <v>1012</v>
      </c>
      <c r="Q29" s="2" t="s">
        <v>53</v>
      </c>
      <c r="R29" s="2">
        <v>8659</v>
      </c>
      <c r="S29" s="2">
        <v>0</v>
      </c>
      <c r="T29" s="2">
        <v>8659</v>
      </c>
      <c r="W29" s="2">
        <v>5195</v>
      </c>
      <c r="X29" s="2">
        <v>0</v>
      </c>
      <c r="Y29" s="2">
        <v>5195</v>
      </c>
      <c r="Z29" s="2">
        <v>10122</v>
      </c>
      <c r="AA29" s="2" t="s">
        <v>89</v>
      </c>
      <c r="AB29" s="2">
        <v>3463</v>
      </c>
      <c r="AC29" s="2">
        <v>0</v>
      </c>
      <c r="AD29" s="2">
        <v>3463</v>
      </c>
      <c r="AE29" s="2">
        <v>10122</v>
      </c>
      <c r="AF29" s="2" t="s">
        <v>46</v>
      </c>
      <c r="AG29" s="2">
        <v>17490</v>
      </c>
      <c r="AH29" s="2" t="s">
        <v>47</v>
      </c>
      <c r="AI29" s="2" t="b">
        <v>0</v>
      </c>
    </row>
    <row r="30" spans="1:35" hidden="1" x14ac:dyDescent="0.2">
      <c r="A30" t="s">
        <v>100</v>
      </c>
      <c r="B30" s="1">
        <v>44148</v>
      </c>
      <c r="C30" s="1">
        <v>44530</v>
      </c>
      <c r="D30" t="s">
        <v>37</v>
      </c>
      <c r="E30" t="s">
        <v>38</v>
      </c>
      <c r="F30" s="2">
        <v>222676.03</v>
      </c>
      <c r="G30" s="2">
        <v>171897</v>
      </c>
      <c r="H30" s="2">
        <v>0</v>
      </c>
      <c r="I30" s="2" t="s">
        <v>39</v>
      </c>
      <c r="J30" s="2">
        <v>256</v>
      </c>
      <c r="K30" s="2" t="s">
        <v>53</v>
      </c>
      <c r="L30" s="2">
        <v>38468</v>
      </c>
      <c r="M30" s="2" t="s">
        <v>41</v>
      </c>
      <c r="N30" s="2">
        <v>7693</v>
      </c>
      <c r="O30" s="2" t="s">
        <v>52</v>
      </c>
      <c r="P30" s="2">
        <v>1282</v>
      </c>
      <c r="Q30" s="2" t="s">
        <v>53</v>
      </c>
      <c r="R30" s="2">
        <v>11133</v>
      </c>
      <c r="S30" s="2">
        <v>0</v>
      </c>
      <c r="T30" s="2">
        <v>11133</v>
      </c>
      <c r="W30" s="2">
        <v>6680</v>
      </c>
      <c r="X30" s="2">
        <v>0</v>
      </c>
      <c r="Y30" s="2">
        <v>6680</v>
      </c>
      <c r="Z30" s="2">
        <v>12822</v>
      </c>
      <c r="AA30" s="2" t="s">
        <v>70</v>
      </c>
      <c r="AB30" s="2">
        <v>4453</v>
      </c>
      <c r="AC30" s="2">
        <v>0</v>
      </c>
      <c r="AD30" s="2">
        <v>4453</v>
      </c>
      <c r="AE30" s="2">
        <v>12822</v>
      </c>
      <c r="AF30" s="2" t="s">
        <v>46</v>
      </c>
      <c r="AG30" s="2">
        <v>22156</v>
      </c>
      <c r="AH30" s="2" t="s">
        <v>47</v>
      </c>
      <c r="AI30" s="2" t="b">
        <v>0</v>
      </c>
    </row>
    <row r="31" spans="1:35" hidden="1" x14ac:dyDescent="0.2">
      <c r="A31" t="s">
        <v>101</v>
      </c>
      <c r="B31" s="1">
        <v>44348</v>
      </c>
      <c r="C31" s="1">
        <v>44713</v>
      </c>
      <c r="D31" t="s">
        <v>37</v>
      </c>
      <c r="E31" t="s">
        <v>102</v>
      </c>
      <c r="F31" s="2">
        <v>149607.82</v>
      </c>
      <c r="G31" s="2">
        <v>142151</v>
      </c>
      <c r="H31" s="2">
        <v>96353</v>
      </c>
      <c r="I31" s="2" t="s">
        <v>39</v>
      </c>
      <c r="J31" s="2">
        <v>160</v>
      </c>
      <c r="K31" s="2" t="s">
        <v>103</v>
      </c>
      <c r="L31" s="2">
        <v>24088</v>
      </c>
      <c r="M31" s="2" t="s">
        <v>104</v>
      </c>
      <c r="N31" s="2">
        <v>4817</v>
      </c>
      <c r="O31" s="2" t="s">
        <v>52</v>
      </c>
      <c r="P31" s="2">
        <v>484</v>
      </c>
      <c r="Q31" s="2" t="s">
        <v>43</v>
      </c>
      <c r="R31" s="2">
        <v>7480</v>
      </c>
      <c r="S31" s="2">
        <v>7457</v>
      </c>
      <c r="T31" s="2">
        <v>23</v>
      </c>
      <c r="U31" s="2">
        <v>160</v>
      </c>
      <c r="V31" s="2" t="s">
        <v>54</v>
      </c>
      <c r="W31" s="2">
        <v>4488</v>
      </c>
      <c r="X31" s="2">
        <v>0</v>
      </c>
      <c r="Y31" s="2">
        <v>4488</v>
      </c>
      <c r="Z31" s="2">
        <v>8029</v>
      </c>
      <c r="AA31" s="2" t="s">
        <v>45</v>
      </c>
      <c r="AB31" s="2">
        <v>2992</v>
      </c>
      <c r="AC31" s="2">
        <v>0</v>
      </c>
      <c r="AD31" s="2">
        <v>2992</v>
      </c>
      <c r="AE31" s="2">
        <v>8430</v>
      </c>
      <c r="AF31" s="2" t="s">
        <v>75</v>
      </c>
      <c r="AI31" s="2" t="b">
        <v>0</v>
      </c>
    </row>
    <row r="32" spans="1:35" hidden="1" x14ac:dyDescent="0.2">
      <c r="A32" t="s">
        <v>105</v>
      </c>
      <c r="B32" s="1">
        <v>44364</v>
      </c>
      <c r="C32" s="1">
        <v>44729</v>
      </c>
      <c r="D32" t="s">
        <v>37</v>
      </c>
      <c r="E32" t="s">
        <v>106</v>
      </c>
      <c r="F32" s="2">
        <v>84271.52</v>
      </c>
      <c r="G32" s="2">
        <v>80891</v>
      </c>
      <c r="H32" s="2">
        <v>64487</v>
      </c>
      <c r="I32" s="2" t="s">
        <v>39</v>
      </c>
      <c r="J32" s="2">
        <v>107</v>
      </c>
      <c r="K32" s="2" t="s">
        <v>103</v>
      </c>
      <c r="L32" s="2">
        <v>16121</v>
      </c>
      <c r="M32" s="2" t="s">
        <v>104</v>
      </c>
      <c r="N32" s="2">
        <v>3224</v>
      </c>
      <c r="O32" s="2" t="s">
        <v>52</v>
      </c>
      <c r="P32" s="2">
        <v>0</v>
      </c>
      <c r="Q32" s="2" t="s">
        <v>43</v>
      </c>
      <c r="R32" s="2">
        <v>4213</v>
      </c>
      <c r="S32" s="2">
        <v>3381</v>
      </c>
      <c r="T32" s="2">
        <v>832</v>
      </c>
      <c r="U32" s="2">
        <v>107</v>
      </c>
      <c r="V32" s="2" t="s">
        <v>54</v>
      </c>
      <c r="W32" s="2">
        <v>2528</v>
      </c>
      <c r="X32" s="2">
        <v>0</v>
      </c>
      <c r="Y32" s="2">
        <v>2528</v>
      </c>
      <c r="Z32" s="2">
        <v>5373</v>
      </c>
      <c r="AA32" s="2" t="s">
        <v>45</v>
      </c>
      <c r="AB32" s="2">
        <v>1685</v>
      </c>
      <c r="AC32" s="2">
        <v>0</v>
      </c>
      <c r="AD32" s="2">
        <v>1685</v>
      </c>
      <c r="AE32" s="2">
        <v>5890</v>
      </c>
      <c r="AF32" s="2" t="s">
        <v>75</v>
      </c>
      <c r="AI32" s="2" t="b">
        <v>0</v>
      </c>
    </row>
    <row r="33" spans="1:35" hidden="1" x14ac:dyDescent="0.2">
      <c r="A33" t="s">
        <v>107</v>
      </c>
      <c r="B33" s="1">
        <v>44364</v>
      </c>
      <c r="C33" s="1">
        <v>44729</v>
      </c>
      <c r="D33" t="s">
        <v>37</v>
      </c>
      <c r="E33" t="s">
        <v>106</v>
      </c>
      <c r="F33" s="2">
        <v>41030.74</v>
      </c>
      <c r="G33" s="2">
        <v>39356</v>
      </c>
      <c r="H33" s="2">
        <v>31938</v>
      </c>
      <c r="I33" s="2" t="s">
        <v>39</v>
      </c>
      <c r="J33" s="2">
        <v>53</v>
      </c>
      <c r="K33" s="2" t="s">
        <v>103</v>
      </c>
      <c r="L33" s="2">
        <v>7984</v>
      </c>
      <c r="M33" s="2" t="s">
        <v>104</v>
      </c>
      <c r="N33" s="2">
        <v>1596</v>
      </c>
      <c r="O33" s="2" t="s">
        <v>52</v>
      </c>
      <c r="P33" s="2">
        <v>0</v>
      </c>
      <c r="Q33" s="2" t="s">
        <v>43</v>
      </c>
      <c r="R33" s="2">
        <v>2051</v>
      </c>
      <c r="S33" s="2">
        <v>1675</v>
      </c>
      <c r="T33" s="2">
        <v>376</v>
      </c>
      <c r="U33" s="2">
        <v>53</v>
      </c>
      <c r="V33" s="2" t="s">
        <v>54</v>
      </c>
      <c r="W33" s="2">
        <v>1230</v>
      </c>
      <c r="X33" s="2">
        <v>0</v>
      </c>
      <c r="Y33" s="2">
        <v>1230</v>
      </c>
      <c r="Z33" s="2">
        <v>2661</v>
      </c>
      <c r="AA33" s="2" t="s">
        <v>45</v>
      </c>
      <c r="AB33" s="2">
        <v>820</v>
      </c>
      <c r="AC33" s="2">
        <v>0</v>
      </c>
      <c r="AD33" s="2">
        <v>820</v>
      </c>
      <c r="AE33" s="2">
        <v>2968</v>
      </c>
      <c r="AF33" s="2" t="s">
        <v>75</v>
      </c>
      <c r="AI33" s="2" t="b">
        <v>0</v>
      </c>
    </row>
    <row r="34" spans="1:35" hidden="1" x14ac:dyDescent="0.2">
      <c r="A34" t="s">
        <v>108</v>
      </c>
      <c r="B34" s="1">
        <v>44365</v>
      </c>
      <c r="C34" s="1">
        <v>44730</v>
      </c>
      <c r="D34" t="s">
        <v>37</v>
      </c>
      <c r="E34" t="s">
        <v>38</v>
      </c>
      <c r="F34" s="2">
        <v>339545.49</v>
      </c>
      <c r="G34" s="2">
        <v>329626</v>
      </c>
      <c r="H34" s="2">
        <v>253986</v>
      </c>
      <c r="I34" s="2" t="s">
        <v>39</v>
      </c>
      <c r="J34" s="2">
        <v>423</v>
      </c>
      <c r="K34" s="2" t="s">
        <v>103</v>
      </c>
      <c r="L34" s="2">
        <v>63496</v>
      </c>
      <c r="M34" s="2" t="s">
        <v>41</v>
      </c>
      <c r="N34" s="2">
        <v>12699</v>
      </c>
      <c r="O34" s="2" t="s">
        <v>42</v>
      </c>
      <c r="P34" s="2">
        <v>4230</v>
      </c>
      <c r="Q34" s="2" t="s">
        <v>43</v>
      </c>
      <c r="R34" s="2">
        <v>16977</v>
      </c>
      <c r="S34" s="2">
        <v>9919</v>
      </c>
      <c r="T34" s="2">
        <v>7058</v>
      </c>
      <c r="U34" s="2">
        <v>423</v>
      </c>
      <c r="V34" s="2" t="s">
        <v>54</v>
      </c>
      <c r="W34" s="2">
        <v>10186</v>
      </c>
      <c r="X34" s="2">
        <v>0</v>
      </c>
      <c r="Y34" s="2">
        <v>10186</v>
      </c>
      <c r="Z34" s="2">
        <v>21165</v>
      </c>
      <c r="AA34" s="2" t="s">
        <v>45</v>
      </c>
      <c r="AB34" s="2">
        <v>6790</v>
      </c>
      <c r="AC34" s="2">
        <v>0</v>
      </c>
      <c r="AD34" s="2">
        <v>6790</v>
      </c>
      <c r="AE34" s="2">
        <v>21165</v>
      </c>
      <c r="AF34" s="2" t="s">
        <v>75</v>
      </c>
      <c r="AG34" s="2">
        <v>36573</v>
      </c>
      <c r="AH34" s="2" t="s">
        <v>47</v>
      </c>
      <c r="AI34" s="2" t="b">
        <v>0</v>
      </c>
    </row>
    <row r="35" spans="1:35" hidden="1" x14ac:dyDescent="0.2">
      <c r="A35" t="s">
        <v>109</v>
      </c>
      <c r="B35" s="1">
        <v>44372</v>
      </c>
      <c r="C35" s="1">
        <v>44737</v>
      </c>
      <c r="D35" t="s">
        <v>37</v>
      </c>
      <c r="E35" t="s">
        <v>102</v>
      </c>
      <c r="F35" s="2">
        <v>136181.06</v>
      </c>
      <c r="G35" s="2">
        <v>121876</v>
      </c>
      <c r="H35" s="2">
        <v>79137</v>
      </c>
      <c r="I35" s="2" t="s">
        <v>39</v>
      </c>
      <c r="J35" s="2">
        <v>131</v>
      </c>
      <c r="K35" s="2" t="s">
        <v>103</v>
      </c>
      <c r="L35" s="2">
        <v>19784</v>
      </c>
      <c r="M35" s="2" t="s">
        <v>41</v>
      </c>
      <c r="N35" s="2">
        <v>3956</v>
      </c>
      <c r="O35" s="2" t="s">
        <v>52</v>
      </c>
      <c r="P35" s="2">
        <v>370</v>
      </c>
      <c r="Q35" s="2" t="s">
        <v>43</v>
      </c>
      <c r="R35" s="2">
        <v>6809</v>
      </c>
      <c r="S35" s="2">
        <v>6777</v>
      </c>
      <c r="T35" s="2">
        <v>32</v>
      </c>
      <c r="W35" s="2">
        <v>4085</v>
      </c>
      <c r="X35" s="2">
        <v>0</v>
      </c>
      <c r="Y35" s="2">
        <v>4085</v>
      </c>
      <c r="Z35" s="2">
        <v>6594</v>
      </c>
      <c r="AA35" s="2" t="s">
        <v>45</v>
      </c>
      <c r="AB35" s="2">
        <v>2723</v>
      </c>
      <c r="AC35" s="2">
        <v>0</v>
      </c>
      <c r="AD35" s="2">
        <v>2723</v>
      </c>
      <c r="AE35" s="2">
        <v>0</v>
      </c>
      <c r="AF35" s="2" t="s">
        <v>46</v>
      </c>
      <c r="AI35" s="2" t="b">
        <v>0</v>
      </c>
    </row>
    <row r="36" spans="1:35" hidden="1" x14ac:dyDescent="0.2">
      <c r="A36" t="s">
        <v>110</v>
      </c>
      <c r="B36" s="1">
        <v>44372</v>
      </c>
      <c r="C36" s="1">
        <v>44737</v>
      </c>
      <c r="D36" t="s">
        <v>37</v>
      </c>
      <c r="E36" t="s">
        <v>102</v>
      </c>
      <c r="F36" s="2">
        <v>188571</v>
      </c>
      <c r="G36" s="2">
        <v>181381</v>
      </c>
      <c r="H36" s="2">
        <v>137106</v>
      </c>
      <c r="I36" s="2" t="s">
        <v>39</v>
      </c>
      <c r="J36" s="2">
        <v>228</v>
      </c>
      <c r="K36" s="2" t="s">
        <v>103</v>
      </c>
      <c r="L36" s="2">
        <v>34276</v>
      </c>
      <c r="M36" s="2" t="s">
        <v>104</v>
      </c>
      <c r="N36" s="2">
        <v>6855</v>
      </c>
      <c r="O36" s="2" t="s">
        <v>52</v>
      </c>
      <c r="P36" s="2">
        <v>0</v>
      </c>
      <c r="Q36" s="2" t="s">
        <v>43</v>
      </c>
      <c r="R36" s="2">
        <v>9428</v>
      </c>
      <c r="S36" s="2">
        <v>7190</v>
      </c>
      <c r="T36" s="2">
        <v>2238</v>
      </c>
      <c r="W36" s="2">
        <v>5657</v>
      </c>
      <c r="X36" s="2">
        <v>0</v>
      </c>
      <c r="Y36" s="2">
        <v>5657</v>
      </c>
      <c r="Z36" s="2">
        <v>11425</v>
      </c>
      <c r="AA36" s="2" t="s">
        <v>45</v>
      </c>
      <c r="AB36" s="2">
        <v>3771</v>
      </c>
      <c r="AC36" s="2">
        <v>0</v>
      </c>
      <c r="AD36" s="2">
        <v>3771</v>
      </c>
      <c r="AE36" s="2">
        <v>12051</v>
      </c>
      <c r="AF36" s="2" t="s">
        <v>75</v>
      </c>
      <c r="AI36" s="2" t="b">
        <v>0</v>
      </c>
    </row>
    <row r="37" spans="1:35" hidden="1" x14ac:dyDescent="0.2">
      <c r="A37" t="s">
        <v>111</v>
      </c>
      <c r="B37" s="1">
        <v>44372</v>
      </c>
      <c r="C37" s="1">
        <v>44737</v>
      </c>
      <c r="D37" t="s">
        <v>37</v>
      </c>
      <c r="E37" t="s">
        <v>102</v>
      </c>
      <c r="F37" s="2">
        <v>164352.85999999999</v>
      </c>
      <c r="G37" s="2">
        <v>156169</v>
      </c>
      <c r="H37" s="2">
        <v>98225</v>
      </c>
      <c r="I37" s="2" t="s">
        <v>39</v>
      </c>
      <c r="J37" s="2">
        <v>163</v>
      </c>
      <c r="K37" s="2" t="s">
        <v>103</v>
      </c>
      <c r="L37" s="2">
        <v>24556</v>
      </c>
      <c r="M37" s="2" t="s">
        <v>104</v>
      </c>
      <c r="N37" s="2">
        <v>4911</v>
      </c>
      <c r="O37" s="2" t="s">
        <v>52</v>
      </c>
      <c r="P37" s="2">
        <v>469</v>
      </c>
      <c r="Q37" s="2" t="s">
        <v>43</v>
      </c>
      <c r="R37" s="2">
        <v>8217</v>
      </c>
      <c r="S37" s="2">
        <v>8184</v>
      </c>
      <c r="T37" s="2">
        <v>33</v>
      </c>
      <c r="W37" s="2">
        <v>4930</v>
      </c>
      <c r="X37" s="2">
        <v>0</v>
      </c>
      <c r="Y37" s="2">
        <v>4930</v>
      </c>
      <c r="Z37" s="2">
        <v>8185</v>
      </c>
      <c r="AA37" s="2" t="s">
        <v>45</v>
      </c>
      <c r="AB37" s="2">
        <v>3287</v>
      </c>
      <c r="AC37" s="2">
        <v>0</v>
      </c>
      <c r="AD37" s="2">
        <v>3287</v>
      </c>
      <c r="AE37" s="2">
        <v>10037</v>
      </c>
      <c r="AF37" s="2" t="s">
        <v>75</v>
      </c>
      <c r="AI37" s="2" t="b">
        <v>0</v>
      </c>
    </row>
    <row r="38" spans="1:35" hidden="1" x14ac:dyDescent="0.2">
      <c r="A38" t="s">
        <v>112</v>
      </c>
      <c r="B38" s="1">
        <v>44375</v>
      </c>
      <c r="C38" s="1">
        <v>44740</v>
      </c>
      <c r="D38" t="s">
        <v>37</v>
      </c>
      <c r="E38" t="s">
        <v>113</v>
      </c>
      <c r="F38" s="2">
        <v>130840.75</v>
      </c>
      <c r="G38" s="2">
        <v>124322</v>
      </c>
      <c r="H38" s="2">
        <v>84633</v>
      </c>
      <c r="I38" s="2" t="s">
        <v>39</v>
      </c>
      <c r="J38" s="2">
        <v>141</v>
      </c>
      <c r="K38" s="2" t="s">
        <v>103</v>
      </c>
      <c r="L38" s="2">
        <v>21158</v>
      </c>
      <c r="M38" s="2" t="s">
        <v>104</v>
      </c>
      <c r="N38" s="2">
        <v>4231</v>
      </c>
      <c r="O38" s="2" t="s">
        <v>52</v>
      </c>
      <c r="P38" s="2">
        <v>427</v>
      </c>
      <c r="Q38" s="2" t="s">
        <v>43</v>
      </c>
      <c r="R38" s="2">
        <v>6542</v>
      </c>
      <c r="S38" s="2">
        <v>6519</v>
      </c>
      <c r="T38" s="2">
        <v>23</v>
      </c>
      <c r="W38" s="2">
        <v>3925</v>
      </c>
      <c r="X38" s="2">
        <v>0</v>
      </c>
      <c r="Y38" s="2">
        <v>3925</v>
      </c>
      <c r="Z38" s="2">
        <v>7052</v>
      </c>
      <c r="AA38" s="2" t="s">
        <v>45</v>
      </c>
      <c r="AB38" s="2">
        <v>2616</v>
      </c>
      <c r="AC38" s="2">
        <v>0</v>
      </c>
      <c r="AD38" s="2">
        <v>2616</v>
      </c>
      <c r="AE38" s="2">
        <v>11748</v>
      </c>
      <c r="AF38" s="2" t="s">
        <v>75</v>
      </c>
      <c r="AI38" s="2" t="b">
        <v>0</v>
      </c>
    </row>
    <row r="39" spans="1:35" hidden="1" x14ac:dyDescent="0.2">
      <c r="A39" t="s">
        <v>114</v>
      </c>
      <c r="B39" s="1">
        <v>44376</v>
      </c>
      <c r="C39" s="1">
        <v>44741</v>
      </c>
      <c r="D39" t="s">
        <v>37</v>
      </c>
      <c r="E39" t="s">
        <v>38</v>
      </c>
      <c r="F39" s="2">
        <v>173923.1</v>
      </c>
      <c r="G39" s="2">
        <v>155058</v>
      </c>
      <c r="H39" s="2">
        <v>122547</v>
      </c>
      <c r="I39" s="2" t="s">
        <v>39</v>
      </c>
      <c r="J39" s="2">
        <v>204</v>
      </c>
      <c r="K39" s="2" t="s">
        <v>103</v>
      </c>
      <c r="L39" s="2">
        <v>30636</v>
      </c>
      <c r="M39" s="2" t="s">
        <v>104</v>
      </c>
      <c r="N39" s="2">
        <v>6127</v>
      </c>
      <c r="O39" s="2" t="s">
        <v>42</v>
      </c>
      <c r="P39" s="2">
        <v>652</v>
      </c>
      <c r="Q39" s="2" t="s">
        <v>43</v>
      </c>
      <c r="R39" s="2">
        <v>8696</v>
      </c>
      <c r="S39" s="2">
        <v>8653</v>
      </c>
      <c r="T39" s="2">
        <v>43</v>
      </c>
      <c r="U39" s="2">
        <v>204</v>
      </c>
      <c r="V39" s="2" t="s">
        <v>115</v>
      </c>
      <c r="W39" s="2">
        <v>5217</v>
      </c>
      <c r="X39" s="2">
        <v>0</v>
      </c>
      <c r="Y39" s="2">
        <v>5217</v>
      </c>
      <c r="Z39" s="2">
        <v>10212</v>
      </c>
      <c r="AA39" s="2" t="s">
        <v>45</v>
      </c>
      <c r="AB39" s="2">
        <v>3478</v>
      </c>
      <c r="AC39" s="2">
        <v>0</v>
      </c>
      <c r="AD39" s="2">
        <v>3478</v>
      </c>
      <c r="AE39" s="2">
        <v>0</v>
      </c>
      <c r="AF39" s="2" t="s">
        <v>46</v>
      </c>
      <c r="AG39" s="2">
        <v>5412</v>
      </c>
      <c r="AH39" s="2" t="s">
        <v>47</v>
      </c>
      <c r="AI39" s="2" t="b">
        <v>0</v>
      </c>
    </row>
    <row r="40" spans="1:35" hidden="1" x14ac:dyDescent="0.2">
      <c r="A40" t="s">
        <v>116</v>
      </c>
      <c r="B40" s="1">
        <v>44377</v>
      </c>
      <c r="C40" s="1">
        <v>44742</v>
      </c>
      <c r="D40" t="s">
        <v>37</v>
      </c>
      <c r="E40" t="s">
        <v>117</v>
      </c>
      <c r="F40" s="2">
        <v>333195.11</v>
      </c>
      <c r="G40" s="2">
        <v>316958</v>
      </c>
      <c r="H40" s="2">
        <v>309573</v>
      </c>
      <c r="I40" s="2" t="s">
        <v>39</v>
      </c>
      <c r="J40" s="2">
        <v>515</v>
      </c>
      <c r="K40" s="2" t="s">
        <v>103</v>
      </c>
      <c r="L40" s="2">
        <v>77393</v>
      </c>
      <c r="M40" s="2" t="s">
        <v>104</v>
      </c>
      <c r="N40" s="2">
        <v>15478</v>
      </c>
      <c r="O40" s="2" t="s">
        <v>52</v>
      </c>
      <c r="P40" s="2">
        <v>0</v>
      </c>
      <c r="Q40" s="2" t="s">
        <v>43</v>
      </c>
      <c r="R40" s="2">
        <v>16659</v>
      </c>
      <c r="S40" s="2">
        <v>16238</v>
      </c>
      <c r="T40" s="2">
        <v>421</v>
      </c>
      <c r="W40" s="2">
        <v>9995</v>
      </c>
      <c r="X40" s="2">
        <v>0</v>
      </c>
      <c r="Y40" s="2">
        <v>9995</v>
      </c>
      <c r="Z40" s="2">
        <v>25797</v>
      </c>
      <c r="AA40" s="2" t="s">
        <v>45</v>
      </c>
      <c r="AB40" s="2">
        <v>6663</v>
      </c>
      <c r="AC40" s="2">
        <v>0</v>
      </c>
      <c r="AD40" s="2">
        <v>6663</v>
      </c>
      <c r="AE40" s="2">
        <v>28833</v>
      </c>
      <c r="AF40" s="2" t="s">
        <v>75</v>
      </c>
      <c r="AI40" s="2" t="b">
        <v>0</v>
      </c>
    </row>
    <row r="41" spans="1:35" hidden="1" x14ac:dyDescent="0.2">
      <c r="A41" t="s">
        <v>118</v>
      </c>
      <c r="B41" s="1">
        <v>44387</v>
      </c>
      <c r="C41" s="1">
        <v>44752</v>
      </c>
      <c r="D41" t="s">
        <v>37</v>
      </c>
      <c r="E41" t="s">
        <v>61</v>
      </c>
      <c r="F41" s="2">
        <v>44080.62</v>
      </c>
      <c r="G41" s="2">
        <v>40265</v>
      </c>
      <c r="H41" s="2">
        <v>29031</v>
      </c>
      <c r="I41" s="2" t="s">
        <v>39</v>
      </c>
      <c r="J41" s="2">
        <v>48</v>
      </c>
      <c r="K41" s="2" t="s">
        <v>103</v>
      </c>
      <c r="L41" s="2">
        <v>7257</v>
      </c>
      <c r="M41" s="2" t="s">
        <v>104</v>
      </c>
      <c r="N41" s="2">
        <v>1451</v>
      </c>
      <c r="O41" s="2" t="s">
        <v>52</v>
      </c>
      <c r="P41" s="2">
        <v>241</v>
      </c>
      <c r="Q41" s="2" t="s">
        <v>43</v>
      </c>
      <c r="R41" s="2">
        <v>2204</v>
      </c>
      <c r="S41" s="2">
        <v>0</v>
      </c>
      <c r="T41" s="2">
        <v>2204</v>
      </c>
      <c r="W41" s="2">
        <v>1322</v>
      </c>
      <c r="X41" s="2">
        <v>0</v>
      </c>
      <c r="Y41" s="2">
        <v>1322</v>
      </c>
      <c r="Z41" s="2">
        <v>2419</v>
      </c>
      <c r="AA41" s="2" t="s">
        <v>45</v>
      </c>
      <c r="AB41" s="2">
        <v>881</v>
      </c>
      <c r="AC41" s="2">
        <v>0</v>
      </c>
      <c r="AD41" s="2">
        <v>881</v>
      </c>
      <c r="AE41" s="2">
        <v>0</v>
      </c>
      <c r="AF41" s="2" t="s">
        <v>46</v>
      </c>
      <c r="AI41" s="2" t="b">
        <v>0</v>
      </c>
    </row>
    <row r="42" spans="1:35" hidden="1" x14ac:dyDescent="0.2">
      <c r="A42" t="s">
        <v>119</v>
      </c>
      <c r="B42" s="1">
        <v>44389</v>
      </c>
      <c r="C42" s="1">
        <v>44754</v>
      </c>
      <c r="D42" t="s">
        <v>37</v>
      </c>
      <c r="E42" t="s">
        <v>120</v>
      </c>
      <c r="F42" s="2">
        <v>390205.64</v>
      </c>
      <c r="G42" s="2">
        <v>305278</v>
      </c>
      <c r="H42" s="2">
        <v>234301</v>
      </c>
      <c r="I42" s="2" t="s">
        <v>39</v>
      </c>
      <c r="J42" s="2">
        <v>444</v>
      </c>
      <c r="K42" s="2" t="s">
        <v>103</v>
      </c>
      <c r="L42" s="2">
        <v>66679</v>
      </c>
      <c r="M42" s="2" t="s">
        <v>104</v>
      </c>
      <c r="N42" s="2">
        <v>13335</v>
      </c>
      <c r="O42" s="2" t="s">
        <v>52</v>
      </c>
      <c r="P42" s="2">
        <v>2222</v>
      </c>
      <c r="Q42" s="2" t="s">
        <v>43</v>
      </c>
      <c r="R42" s="2">
        <v>19510</v>
      </c>
      <c r="S42" s="2">
        <v>0</v>
      </c>
      <c r="T42" s="2">
        <v>19510</v>
      </c>
      <c r="U42" s="2">
        <v>444</v>
      </c>
      <c r="V42" s="2" t="s">
        <v>54</v>
      </c>
      <c r="W42" s="2">
        <v>11706</v>
      </c>
      <c r="X42" s="2">
        <v>0</v>
      </c>
      <c r="Y42" s="2">
        <v>11706</v>
      </c>
      <c r="Z42" s="2">
        <v>22226</v>
      </c>
      <c r="AA42" s="2" t="s">
        <v>45</v>
      </c>
      <c r="AB42" s="2">
        <v>7804</v>
      </c>
      <c r="AC42" s="2">
        <v>0</v>
      </c>
      <c r="AD42" s="2">
        <v>7804</v>
      </c>
      <c r="AE42" s="2">
        <v>0</v>
      </c>
      <c r="AF42" s="2" t="s">
        <v>46</v>
      </c>
      <c r="AI42" s="2" t="b">
        <v>0</v>
      </c>
    </row>
    <row r="43" spans="1:35" hidden="1" x14ac:dyDescent="0.2">
      <c r="A43" t="s">
        <v>121</v>
      </c>
      <c r="B43" s="1">
        <v>44389</v>
      </c>
      <c r="C43" s="1">
        <v>44754</v>
      </c>
      <c r="D43" t="s">
        <v>37</v>
      </c>
      <c r="E43" t="s">
        <v>120</v>
      </c>
      <c r="F43" s="2">
        <v>358738.26</v>
      </c>
      <c r="G43" s="2">
        <v>276515</v>
      </c>
      <c r="H43" s="2">
        <v>236947</v>
      </c>
      <c r="I43" s="2" t="s">
        <v>39</v>
      </c>
      <c r="J43" s="2">
        <v>418</v>
      </c>
      <c r="K43" s="2" t="s">
        <v>103</v>
      </c>
      <c r="L43" s="2">
        <v>62749</v>
      </c>
      <c r="M43" s="2" t="s">
        <v>104</v>
      </c>
      <c r="N43" s="2">
        <v>12549</v>
      </c>
      <c r="O43" s="2" t="s">
        <v>52</v>
      </c>
      <c r="P43" s="2">
        <v>1329</v>
      </c>
      <c r="Q43" s="2" t="s">
        <v>43</v>
      </c>
      <c r="R43" s="2">
        <v>17936</v>
      </c>
      <c r="S43" s="2">
        <v>17869</v>
      </c>
      <c r="T43" s="2">
        <v>67</v>
      </c>
      <c r="U43" s="2">
        <v>418</v>
      </c>
      <c r="V43" s="2" t="s">
        <v>54</v>
      </c>
      <c r="W43" s="2">
        <v>10762</v>
      </c>
      <c r="X43" s="2">
        <v>0</v>
      </c>
      <c r="Y43" s="2">
        <v>10762</v>
      </c>
      <c r="Z43" s="2">
        <v>20916</v>
      </c>
      <c r="AA43" s="2" t="s">
        <v>45</v>
      </c>
      <c r="AB43" s="2">
        <v>7174</v>
      </c>
      <c r="AC43" s="2">
        <v>0</v>
      </c>
      <c r="AD43" s="2">
        <v>7174</v>
      </c>
      <c r="AE43" s="2">
        <v>0</v>
      </c>
      <c r="AF43" s="2" t="s">
        <v>46</v>
      </c>
      <c r="AI43" s="2" t="b">
        <v>0</v>
      </c>
    </row>
    <row r="44" spans="1:35" hidden="1" x14ac:dyDescent="0.2">
      <c r="A44" t="s">
        <v>122</v>
      </c>
      <c r="B44" s="1">
        <v>44389</v>
      </c>
      <c r="C44" s="1">
        <v>44754</v>
      </c>
      <c r="D44" t="s">
        <v>37</v>
      </c>
      <c r="E44" t="s">
        <v>102</v>
      </c>
      <c r="F44" s="2">
        <v>174166.28</v>
      </c>
      <c r="G44" s="2">
        <v>162251</v>
      </c>
      <c r="H44" s="2">
        <v>303781</v>
      </c>
      <c r="I44" s="2" t="s">
        <v>39</v>
      </c>
      <c r="J44" s="2">
        <v>505</v>
      </c>
      <c r="K44" s="2" t="s">
        <v>103</v>
      </c>
      <c r="L44" s="2">
        <v>75943</v>
      </c>
      <c r="M44" s="2" t="s">
        <v>104</v>
      </c>
      <c r="N44" s="2">
        <v>15186</v>
      </c>
      <c r="O44" s="2" t="s">
        <v>52</v>
      </c>
      <c r="P44" s="2">
        <v>2531</v>
      </c>
      <c r="Q44" s="2" t="s">
        <v>53</v>
      </c>
      <c r="R44" s="2">
        <v>8708</v>
      </c>
      <c r="S44" s="2">
        <v>0</v>
      </c>
      <c r="T44" s="2">
        <v>8708</v>
      </c>
      <c r="U44" s="2">
        <v>505</v>
      </c>
      <c r="V44" s="2" t="s">
        <v>54</v>
      </c>
      <c r="W44" s="2">
        <v>5224</v>
      </c>
      <c r="X44" s="2">
        <v>0</v>
      </c>
      <c r="Y44" s="2">
        <v>5224</v>
      </c>
      <c r="Z44" s="2">
        <v>25313</v>
      </c>
      <c r="AA44" s="2" t="s">
        <v>45</v>
      </c>
      <c r="AB44" s="2">
        <v>3483</v>
      </c>
      <c r="AC44" s="2">
        <v>0</v>
      </c>
      <c r="AD44" s="2">
        <v>3483</v>
      </c>
      <c r="AE44" s="2">
        <v>4007</v>
      </c>
      <c r="AF44" s="2" t="s">
        <v>46</v>
      </c>
      <c r="AI44" s="2" t="b">
        <v>0</v>
      </c>
    </row>
    <row r="45" spans="1:35" hidden="1" x14ac:dyDescent="0.2">
      <c r="A45" t="s">
        <v>123</v>
      </c>
      <c r="B45" s="1">
        <v>44396</v>
      </c>
      <c r="C45" s="1">
        <v>44761</v>
      </c>
      <c r="D45" t="s">
        <v>37</v>
      </c>
      <c r="E45" t="s">
        <v>124</v>
      </c>
      <c r="F45" s="2">
        <v>676763.09</v>
      </c>
      <c r="G45" s="2">
        <v>657722</v>
      </c>
      <c r="H45" s="2">
        <v>681434</v>
      </c>
      <c r="I45" s="2" t="s">
        <v>39</v>
      </c>
      <c r="J45" s="2">
        <v>1133</v>
      </c>
      <c r="K45" s="2" t="s">
        <v>103</v>
      </c>
      <c r="L45" s="2">
        <v>170356</v>
      </c>
      <c r="M45" s="2" t="s">
        <v>104</v>
      </c>
      <c r="N45" s="2">
        <v>34068</v>
      </c>
      <c r="O45" s="2" t="s">
        <v>52</v>
      </c>
      <c r="P45" s="2">
        <v>4865</v>
      </c>
      <c r="Q45" s="2" t="s">
        <v>43</v>
      </c>
      <c r="R45" s="2">
        <v>33838</v>
      </c>
      <c r="S45" s="2">
        <v>19041</v>
      </c>
      <c r="T45" s="2">
        <v>14797</v>
      </c>
      <c r="U45" s="2">
        <v>1043</v>
      </c>
      <c r="V45" s="2" t="s">
        <v>54</v>
      </c>
      <c r="W45" s="2">
        <v>20302</v>
      </c>
      <c r="X45" s="2">
        <v>0</v>
      </c>
      <c r="Y45" s="2">
        <v>20302</v>
      </c>
      <c r="Z45" s="2">
        <v>56783</v>
      </c>
      <c r="AA45" s="2" t="s">
        <v>45</v>
      </c>
      <c r="AB45" s="2">
        <v>13535</v>
      </c>
      <c r="AC45" s="2">
        <v>0</v>
      </c>
      <c r="AD45" s="2">
        <v>13535</v>
      </c>
      <c r="AE45" s="2">
        <v>67795</v>
      </c>
      <c r="AF45" s="2" t="s">
        <v>75</v>
      </c>
      <c r="AI45" s="2" t="b">
        <v>0</v>
      </c>
    </row>
    <row r="46" spans="1:35" hidden="1" x14ac:dyDescent="0.2">
      <c r="A46" t="s">
        <v>125</v>
      </c>
      <c r="B46" s="1">
        <v>44375</v>
      </c>
      <c r="C46" s="1">
        <v>44740</v>
      </c>
      <c r="D46" t="s">
        <v>37</v>
      </c>
      <c r="E46" t="s">
        <v>126</v>
      </c>
      <c r="F46" s="2">
        <v>42963.6</v>
      </c>
      <c r="G46" s="2">
        <v>41257</v>
      </c>
      <c r="H46" s="2">
        <v>32563</v>
      </c>
      <c r="I46" s="2" t="s">
        <v>39</v>
      </c>
      <c r="J46" s="2">
        <v>54</v>
      </c>
      <c r="K46" s="2" t="s">
        <v>103</v>
      </c>
      <c r="L46" s="2">
        <v>8140</v>
      </c>
      <c r="M46" s="2" t="s">
        <v>104</v>
      </c>
      <c r="N46" s="2">
        <v>1628</v>
      </c>
      <c r="O46" s="2" t="s">
        <v>52</v>
      </c>
      <c r="P46" s="2">
        <v>0</v>
      </c>
      <c r="Q46" s="2" t="s">
        <v>43</v>
      </c>
      <c r="R46" s="2">
        <v>2148</v>
      </c>
      <c r="S46" s="2">
        <v>1706</v>
      </c>
      <c r="T46" s="2">
        <v>442</v>
      </c>
      <c r="U46" s="2">
        <v>54</v>
      </c>
      <c r="V46" s="2" t="s">
        <v>54</v>
      </c>
      <c r="W46" s="2">
        <v>1288</v>
      </c>
      <c r="X46" s="2">
        <v>0</v>
      </c>
      <c r="Y46" s="2">
        <v>1288</v>
      </c>
      <c r="Z46" s="2">
        <v>2713</v>
      </c>
      <c r="AA46" s="2" t="s">
        <v>45</v>
      </c>
      <c r="AB46" s="2">
        <v>859</v>
      </c>
      <c r="AC46" s="2">
        <v>0</v>
      </c>
      <c r="AD46" s="2">
        <v>859</v>
      </c>
      <c r="AE46" s="2">
        <v>2822</v>
      </c>
      <c r="AF46" s="2" t="s">
        <v>75</v>
      </c>
      <c r="AI46" s="2" t="b">
        <v>0</v>
      </c>
    </row>
    <row r="47" spans="1:35" hidden="1" x14ac:dyDescent="0.2">
      <c r="A47" t="s">
        <v>127</v>
      </c>
      <c r="B47" s="1">
        <v>44399</v>
      </c>
      <c r="C47" s="1">
        <v>44764</v>
      </c>
      <c r="D47" t="s">
        <v>37</v>
      </c>
      <c r="E47" t="s">
        <v>128</v>
      </c>
      <c r="F47" s="2">
        <v>33275.660000000003</v>
      </c>
      <c r="G47" s="2">
        <v>33276</v>
      </c>
      <c r="H47" s="2">
        <v>10368</v>
      </c>
      <c r="I47" s="2" t="s">
        <v>39</v>
      </c>
      <c r="J47" s="2">
        <v>17</v>
      </c>
      <c r="K47" s="2" t="s">
        <v>103</v>
      </c>
      <c r="L47" s="2">
        <v>2592</v>
      </c>
      <c r="M47" s="2" t="s">
        <v>104</v>
      </c>
      <c r="N47" s="2">
        <v>518</v>
      </c>
      <c r="O47" s="2" t="s">
        <v>52</v>
      </c>
      <c r="P47" s="2">
        <v>86</v>
      </c>
      <c r="Q47" s="2" t="s">
        <v>43</v>
      </c>
      <c r="R47" s="2">
        <v>1663</v>
      </c>
      <c r="S47" s="2">
        <v>0</v>
      </c>
      <c r="T47" s="2">
        <v>1663</v>
      </c>
      <c r="U47" s="2">
        <v>17</v>
      </c>
      <c r="V47" s="2" t="s">
        <v>54</v>
      </c>
      <c r="W47" s="2">
        <v>998</v>
      </c>
      <c r="X47" s="2">
        <v>0</v>
      </c>
      <c r="Y47" s="2">
        <v>998</v>
      </c>
      <c r="Z47" s="2">
        <v>864</v>
      </c>
      <c r="AA47" s="2" t="s">
        <v>45</v>
      </c>
      <c r="AB47" s="2">
        <v>665</v>
      </c>
      <c r="AC47" s="2">
        <v>0</v>
      </c>
      <c r="AD47" s="2">
        <v>665</v>
      </c>
      <c r="AE47" s="2">
        <v>3082</v>
      </c>
      <c r="AF47" s="2" t="s">
        <v>75</v>
      </c>
      <c r="AG47" s="2">
        <v>0</v>
      </c>
      <c r="AH47" s="2" t="s">
        <v>47</v>
      </c>
      <c r="AI47" s="2" t="b">
        <v>0</v>
      </c>
    </row>
    <row r="48" spans="1:35" hidden="1" x14ac:dyDescent="0.2">
      <c r="A48" t="s">
        <v>129</v>
      </c>
      <c r="B48" s="1">
        <v>44391</v>
      </c>
      <c r="C48" s="1">
        <v>44756</v>
      </c>
      <c r="D48" t="s">
        <v>37</v>
      </c>
      <c r="E48" t="s">
        <v>72</v>
      </c>
      <c r="F48" s="2">
        <v>189513.84</v>
      </c>
      <c r="G48" s="2">
        <v>167800</v>
      </c>
      <c r="H48" s="2">
        <v>121953</v>
      </c>
      <c r="I48" s="2" t="s">
        <v>39</v>
      </c>
      <c r="J48" s="2">
        <v>203</v>
      </c>
      <c r="K48" s="2" t="s">
        <v>103</v>
      </c>
      <c r="L48" s="2">
        <v>30488</v>
      </c>
      <c r="M48" s="2" t="s">
        <v>104</v>
      </c>
      <c r="N48" s="2">
        <v>6097</v>
      </c>
      <c r="O48" s="2" t="s">
        <v>52</v>
      </c>
      <c r="P48" s="2">
        <v>1016</v>
      </c>
      <c r="Q48" s="2" t="s">
        <v>43</v>
      </c>
      <c r="R48" s="2">
        <v>9475</v>
      </c>
      <c r="S48" s="2">
        <v>0</v>
      </c>
      <c r="T48" s="2">
        <v>9475</v>
      </c>
      <c r="W48" s="2">
        <v>5685</v>
      </c>
      <c r="X48" s="2">
        <v>0</v>
      </c>
      <c r="Y48" s="2">
        <v>5685</v>
      </c>
      <c r="Z48" s="2">
        <v>10162</v>
      </c>
      <c r="AA48" s="2" t="s">
        <v>45</v>
      </c>
      <c r="AB48" s="2">
        <v>3790</v>
      </c>
      <c r="AC48" s="2">
        <v>0</v>
      </c>
      <c r="AD48" s="2">
        <v>3790</v>
      </c>
      <c r="AE48" s="2">
        <v>1</v>
      </c>
      <c r="AF48" s="2" t="s">
        <v>46</v>
      </c>
      <c r="AI48" s="2" t="b">
        <v>0</v>
      </c>
    </row>
    <row r="49" spans="1:35" hidden="1" x14ac:dyDescent="0.2">
      <c r="A49" t="s">
        <v>130</v>
      </c>
      <c r="B49" s="1">
        <v>44391</v>
      </c>
      <c r="C49" s="1">
        <v>44756</v>
      </c>
      <c r="D49" t="s">
        <v>37</v>
      </c>
      <c r="E49" t="s">
        <v>72</v>
      </c>
      <c r="F49" s="2">
        <v>148878.42000000001</v>
      </c>
      <c r="G49" s="2">
        <v>126839</v>
      </c>
      <c r="H49" s="2">
        <v>86930</v>
      </c>
      <c r="I49" s="2" t="s">
        <v>39</v>
      </c>
      <c r="J49" s="2">
        <v>144</v>
      </c>
      <c r="K49" s="2" t="s">
        <v>103</v>
      </c>
      <c r="L49" s="2">
        <v>21732</v>
      </c>
      <c r="M49" s="2" t="s">
        <v>104</v>
      </c>
      <c r="N49" s="2">
        <v>4346</v>
      </c>
      <c r="O49" s="2" t="s">
        <v>52</v>
      </c>
      <c r="P49" s="2">
        <v>724</v>
      </c>
      <c r="Q49" s="2" t="s">
        <v>43</v>
      </c>
      <c r="R49" s="2">
        <v>7443</v>
      </c>
      <c r="S49" s="2">
        <v>0</v>
      </c>
      <c r="T49" s="2">
        <v>7443</v>
      </c>
      <c r="W49" s="2">
        <v>4466</v>
      </c>
      <c r="X49" s="2">
        <v>0</v>
      </c>
      <c r="Y49" s="2">
        <v>4466</v>
      </c>
      <c r="Z49" s="2">
        <v>7244</v>
      </c>
      <c r="AA49" s="2" t="s">
        <v>45</v>
      </c>
      <c r="AB49" s="2">
        <v>2977</v>
      </c>
      <c r="AC49" s="2">
        <v>0</v>
      </c>
      <c r="AD49" s="2">
        <v>2977</v>
      </c>
      <c r="AE49" s="2">
        <v>495</v>
      </c>
      <c r="AF49" s="2" t="s">
        <v>46</v>
      </c>
      <c r="AI49" s="2" t="b">
        <v>0</v>
      </c>
    </row>
    <row r="50" spans="1:35" hidden="1" x14ac:dyDescent="0.2">
      <c r="A50" t="s">
        <v>131</v>
      </c>
      <c r="B50" s="1">
        <v>44422</v>
      </c>
      <c r="C50" s="1">
        <v>44787</v>
      </c>
      <c r="D50" t="s">
        <v>37</v>
      </c>
      <c r="E50" t="s">
        <v>61</v>
      </c>
      <c r="F50" s="2">
        <v>39006.57</v>
      </c>
      <c r="G50" s="2">
        <v>33855</v>
      </c>
      <c r="H50" s="2">
        <v>32285</v>
      </c>
      <c r="I50" s="2" t="s">
        <v>39</v>
      </c>
      <c r="J50" s="2">
        <v>53</v>
      </c>
      <c r="K50" s="2" t="s">
        <v>103</v>
      </c>
      <c r="L50" s="2">
        <v>8071</v>
      </c>
      <c r="M50" s="2" t="s">
        <v>104</v>
      </c>
      <c r="N50" s="2">
        <v>1614</v>
      </c>
      <c r="O50" s="2" t="s">
        <v>52</v>
      </c>
      <c r="P50" s="2">
        <v>269</v>
      </c>
      <c r="Q50" s="2" t="s">
        <v>43</v>
      </c>
      <c r="R50" s="2">
        <v>1950</v>
      </c>
      <c r="S50" s="2">
        <v>0</v>
      </c>
      <c r="T50" s="2">
        <v>1950</v>
      </c>
      <c r="U50" s="2">
        <v>53</v>
      </c>
      <c r="V50" s="2" t="s">
        <v>54</v>
      </c>
      <c r="W50" s="2">
        <v>1170</v>
      </c>
      <c r="X50" s="2">
        <v>0</v>
      </c>
      <c r="Y50" s="2">
        <v>1170</v>
      </c>
      <c r="Z50" s="2">
        <v>2690</v>
      </c>
      <c r="AA50" s="2" t="s">
        <v>45</v>
      </c>
      <c r="AB50" s="2">
        <v>780</v>
      </c>
      <c r="AC50" s="2">
        <v>0</v>
      </c>
      <c r="AD50" s="2">
        <v>780</v>
      </c>
      <c r="AE50" s="2">
        <v>1</v>
      </c>
      <c r="AF50" s="2" t="s">
        <v>46</v>
      </c>
      <c r="AI50" s="2" t="b">
        <v>0</v>
      </c>
    </row>
    <row r="51" spans="1:35" hidden="1" x14ac:dyDescent="0.2">
      <c r="A51" t="s">
        <v>132</v>
      </c>
      <c r="B51" s="1">
        <v>44431</v>
      </c>
      <c r="C51" s="1">
        <v>44796</v>
      </c>
      <c r="D51" t="s">
        <v>37</v>
      </c>
      <c r="E51" t="s">
        <v>49</v>
      </c>
      <c r="F51" s="2">
        <v>689226.34</v>
      </c>
      <c r="G51" s="2">
        <v>684737</v>
      </c>
      <c r="H51" s="2">
        <v>556027</v>
      </c>
      <c r="I51" s="2" t="s">
        <v>39</v>
      </c>
      <c r="J51" s="2">
        <v>926</v>
      </c>
      <c r="K51" s="2" t="s">
        <v>103</v>
      </c>
      <c r="L51" s="2">
        <v>139006</v>
      </c>
      <c r="M51" s="2" t="s">
        <v>104</v>
      </c>
      <c r="N51" s="2">
        <v>27801</v>
      </c>
      <c r="O51" s="2" t="s">
        <v>52</v>
      </c>
      <c r="P51" s="2">
        <v>4633</v>
      </c>
      <c r="Q51" s="2" t="s">
        <v>43</v>
      </c>
      <c r="R51" s="2">
        <v>34461</v>
      </c>
      <c r="S51" s="2">
        <v>0</v>
      </c>
      <c r="T51" s="2">
        <v>34461</v>
      </c>
      <c r="W51" s="2">
        <v>20676</v>
      </c>
      <c r="X51" s="2">
        <v>0</v>
      </c>
      <c r="Y51" s="2">
        <v>20676</v>
      </c>
      <c r="Z51" s="2">
        <v>46335</v>
      </c>
      <c r="AA51" s="2" t="s">
        <v>89</v>
      </c>
      <c r="AB51" s="2">
        <v>13784</v>
      </c>
      <c r="AC51" s="2">
        <v>0</v>
      </c>
      <c r="AD51" s="2">
        <v>13784</v>
      </c>
      <c r="AE51" s="2">
        <v>49318</v>
      </c>
      <c r="AF51" s="2" t="s">
        <v>46</v>
      </c>
      <c r="AG51" s="2">
        <v>0</v>
      </c>
      <c r="AH51" s="2" t="s">
        <v>47</v>
      </c>
      <c r="AI51" s="2" t="b">
        <v>0</v>
      </c>
    </row>
    <row r="52" spans="1:35" x14ac:dyDescent="0.2">
      <c r="A52" t="s">
        <v>133</v>
      </c>
      <c r="B52" s="1">
        <v>41486</v>
      </c>
      <c r="C52" s="1">
        <v>44615</v>
      </c>
      <c r="D52" t="s">
        <v>134</v>
      </c>
      <c r="E52" t="s">
        <v>135</v>
      </c>
      <c r="F52" s="2">
        <v>332402.21000000002</v>
      </c>
      <c r="G52" s="2">
        <v>254017</v>
      </c>
      <c r="H52" s="2">
        <v>205381</v>
      </c>
      <c r="I52" s="2" t="s">
        <v>39</v>
      </c>
      <c r="J52" s="2">
        <v>342</v>
      </c>
      <c r="K52" s="2" t="s">
        <v>103</v>
      </c>
      <c r="L52" s="2">
        <v>20000</v>
      </c>
      <c r="M52" s="2" t="s">
        <v>51</v>
      </c>
      <c r="N52" s="2">
        <v>10269</v>
      </c>
      <c r="O52" s="2" t="s">
        <v>42</v>
      </c>
      <c r="P52" s="2">
        <v>0</v>
      </c>
      <c r="Q52" s="2" t="s">
        <v>43</v>
      </c>
      <c r="R52" s="2">
        <v>16620</v>
      </c>
      <c r="S52" s="2">
        <v>10575</v>
      </c>
      <c r="T52" s="2">
        <v>6045</v>
      </c>
      <c r="U52" s="2">
        <v>342</v>
      </c>
      <c r="V52" s="2" t="s">
        <v>136</v>
      </c>
      <c r="W52" s="2">
        <v>9972</v>
      </c>
      <c r="X52" s="2">
        <v>0</v>
      </c>
      <c r="Y52" s="2">
        <v>9972</v>
      </c>
      <c r="Z52" s="2">
        <v>17115</v>
      </c>
      <c r="AA52" s="2" t="s">
        <v>45</v>
      </c>
      <c r="AB52" s="2">
        <v>6648</v>
      </c>
      <c r="AC52" s="2">
        <v>0</v>
      </c>
      <c r="AD52" s="2">
        <v>6648</v>
      </c>
      <c r="AI52" s="2" t="b">
        <v>0</v>
      </c>
    </row>
    <row r="53" spans="1:35" x14ac:dyDescent="0.2">
      <c r="A53" t="s">
        <v>137</v>
      </c>
      <c r="B53" s="1">
        <v>41456</v>
      </c>
      <c r="C53" s="1">
        <v>44615</v>
      </c>
      <c r="D53" t="s">
        <v>134</v>
      </c>
      <c r="E53" t="s">
        <v>138</v>
      </c>
      <c r="F53" s="2">
        <v>236692.48000000001</v>
      </c>
      <c r="G53" s="2">
        <v>200035</v>
      </c>
      <c r="H53" s="2">
        <v>135889</v>
      </c>
      <c r="I53" s="2" t="s">
        <v>39</v>
      </c>
      <c r="J53" s="2">
        <v>226</v>
      </c>
      <c r="K53" s="2" t="s">
        <v>103</v>
      </c>
      <c r="L53" s="2">
        <v>33972</v>
      </c>
      <c r="M53" s="2" t="s">
        <v>51</v>
      </c>
      <c r="N53" s="2">
        <v>6794</v>
      </c>
      <c r="O53" s="2" t="s">
        <v>42</v>
      </c>
      <c r="P53" s="2">
        <v>0</v>
      </c>
      <c r="Q53" s="2" t="s">
        <v>43</v>
      </c>
      <c r="R53" s="2">
        <v>11834</v>
      </c>
      <c r="S53" s="2">
        <v>6997</v>
      </c>
      <c r="T53" s="2">
        <v>4837</v>
      </c>
      <c r="U53" s="2">
        <v>226</v>
      </c>
      <c r="V53" s="2" t="s">
        <v>136</v>
      </c>
      <c r="W53" s="2">
        <v>7100</v>
      </c>
      <c r="X53" s="2">
        <v>0</v>
      </c>
      <c r="Y53" s="2">
        <v>7100</v>
      </c>
      <c r="Z53" s="2">
        <v>6102</v>
      </c>
      <c r="AA53" s="2" t="s">
        <v>45</v>
      </c>
      <c r="AB53" s="2">
        <v>4733</v>
      </c>
      <c r="AC53" s="2">
        <v>29661</v>
      </c>
      <c r="AD53" s="2">
        <v>-24928</v>
      </c>
      <c r="AG53" s="2">
        <v>5775</v>
      </c>
      <c r="AH53" s="2" t="s">
        <v>139</v>
      </c>
      <c r="AI53" s="2" t="b">
        <v>0</v>
      </c>
    </row>
    <row r="54" spans="1:35" x14ac:dyDescent="0.2">
      <c r="A54" t="s">
        <v>140</v>
      </c>
      <c r="B54" s="1">
        <v>41438</v>
      </c>
      <c r="C54" s="1">
        <v>44615</v>
      </c>
      <c r="D54" t="s">
        <v>134</v>
      </c>
      <c r="E54" t="s">
        <v>138</v>
      </c>
      <c r="F54" s="2">
        <v>212925.25</v>
      </c>
      <c r="G54" s="2">
        <v>205774</v>
      </c>
      <c r="H54" s="2">
        <v>138885</v>
      </c>
      <c r="I54" s="2" t="s">
        <v>39</v>
      </c>
      <c r="J54" s="2">
        <v>231</v>
      </c>
      <c r="K54" s="2" t="s">
        <v>103</v>
      </c>
      <c r="L54" s="2">
        <v>34721</v>
      </c>
      <c r="M54" s="2" t="s">
        <v>51</v>
      </c>
      <c r="N54" s="2">
        <v>6944</v>
      </c>
      <c r="O54" s="2" t="s">
        <v>42</v>
      </c>
      <c r="P54" s="2">
        <v>0</v>
      </c>
      <c r="Q54" s="2" t="s">
        <v>43</v>
      </c>
      <c r="R54" s="2">
        <v>10646</v>
      </c>
      <c r="S54" s="2">
        <v>7151</v>
      </c>
      <c r="T54" s="2">
        <v>3495</v>
      </c>
      <c r="U54" s="2">
        <v>231</v>
      </c>
      <c r="V54" s="2" t="s">
        <v>136</v>
      </c>
      <c r="W54" s="2">
        <v>6387</v>
      </c>
      <c r="X54" s="2">
        <v>0</v>
      </c>
      <c r="Y54" s="2">
        <v>6387</v>
      </c>
      <c r="Z54" s="2">
        <v>11573</v>
      </c>
      <c r="AA54" s="2" t="s">
        <v>45</v>
      </c>
      <c r="AB54" s="2">
        <v>4258</v>
      </c>
      <c r="AC54" s="2">
        <v>0</v>
      </c>
      <c r="AD54" s="2">
        <v>4258</v>
      </c>
      <c r="AG54" s="2">
        <v>5902</v>
      </c>
      <c r="AH54" s="2" t="s">
        <v>139</v>
      </c>
      <c r="AI54" s="2" t="b">
        <v>0</v>
      </c>
    </row>
    <row r="55" spans="1:35" x14ac:dyDescent="0.2">
      <c r="A55" t="s">
        <v>141</v>
      </c>
      <c r="B55" s="1">
        <v>41297</v>
      </c>
      <c r="C55" s="1">
        <v>44615</v>
      </c>
      <c r="D55" t="s">
        <v>134</v>
      </c>
      <c r="E55" t="s">
        <v>142</v>
      </c>
      <c r="F55" s="2">
        <v>342758.19</v>
      </c>
      <c r="G55" s="2">
        <v>52276</v>
      </c>
      <c r="H55" s="2">
        <v>213107</v>
      </c>
      <c r="I55" s="2" t="s">
        <v>39</v>
      </c>
      <c r="J55" s="2">
        <v>355</v>
      </c>
      <c r="K55" s="2" t="s">
        <v>103</v>
      </c>
      <c r="L55" s="2">
        <v>13609</v>
      </c>
      <c r="M55" s="2" t="s">
        <v>51</v>
      </c>
      <c r="N55" s="2">
        <v>10655</v>
      </c>
      <c r="O55" s="2" t="s">
        <v>42</v>
      </c>
      <c r="P55" s="2">
        <v>0</v>
      </c>
      <c r="Q55" s="2" t="s">
        <v>43</v>
      </c>
      <c r="R55" s="2">
        <v>17137</v>
      </c>
      <c r="S55" s="2">
        <v>16267</v>
      </c>
      <c r="T55" s="2">
        <v>870</v>
      </c>
      <c r="U55" s="2">
        <v>355</v>
      </c>
      <c r="V55" s="2" t="s">
        <v>136</v>
      </c>
      <c r="W55" s="2">
        <v>10282</v>
      </c>
      <c r="X55" s="2">
        <v>0</v>
      </c>
      <c r="Y55" s="2">
        <v>10282</v>
      </c>
      <c r="Z55" s="2">
        <v>0</v>
      </c>
      <c r="AA55" s="2" t="s">
        <v>45</v>
      </c>
      <c r="AB55" s="2">
        <v>6855</v>
      </c>
      <c r="AC55" s="2">
        <v>101005</v>
      </c>
      <c r="AD55" s="2">
        <v>-94150</v>
      </c>
      <c r="AG55" s="2">
        <v>0</v>
      </c>
      <c r="AH55" s="2" t="s">
        <v>139</v>
      </c>
      <c r="AI55" s="2" t="b">
        <v>0</v>
      </c>
    </row>
    <row r="56" spans="1:35" x14ac:dyDescent="0.2">
      <c r="A56" t="s">
        <v>143</v>
      </c>
      <c r="B56" s="1">
        <v>41292</v>
      </c>
      <c r="C56" s="1">
        <v>44615</v>
      </c>
      <c r="D56" t="s">
        <v>134</v>
      </c>
      <c r="E56" t="s">
        <v>135</v>
      </c>
      <c r="F56" s="2">
        <v>243798.07</v>
      </c>
      <c r="G56" s="2">
        <v>180284</v>
      </c>
      <c r="H56" s="2">
        <v>161162</v>
      </c>
      <c r="I56" s="2" t="s">
        <v>39</v>
      </c>
      <c r="J56" s="2">
        <v>268</v>
      </c>
      <c r="K56" s="2" t="s">
        <v>103</v>
      </c>
      <c r="L56" s="2">
        <v>16440</v>
      </c>
      <c r="M56" s="2" t="s">
        <v>51</v>
      </c>
      <c r="N56" s="2">
        <v>8058</v>
      </c>
      <c r="O56" s="2" t="s">
        <v>42</v>
      </c>
      <c r="P56" s="2">
        <v>0</v>
      </c>
      <c r="Q56" s="2" t="s">
        <v>43</v>
      </c>
      <c r="R56" s="2">
        <v>12189</v>
      </c>
      <c r="S56" s="2">
        <v>8301</v>
      </c>
      <c r="T56" s="2">
        <v>3888</v>
      </c>
      <c r="U56" s="2">
        <v>268</v>
      </c>
      <c r="V56" s="2" t="s">
        <v>144</v>
      </c>
      <c r="W56" s="2">
        <v>7313</v>
      </c>
      <c r="X56" s="2">
        <v>0</v>
      </c>
      <c r="Y56" s="2">
        <v>7313</v>
      </c>
      <c r="Z56" s="2">
        <v>13430</v>
      </c>
      <c r="AA56" s="2" t="s">
        <v>45</v>
      </c>
      <c r="AB56" s="2">
        <v>4875</v>
      </c>
      <c r="AC56" s="2">
        <v>0</v>
      </c>
      <c r="AD56" s="2">
        <v>4875</v>
      </c>
      <c r="AG56" s="2">
        <v>0</v>
      </c>
      <c r="AH56" s="2" t="s">
        <v>139</v>
      </c>
      <c r="AI56" s="2" t="b">
        <v>0</v>
      </c>
    </row>
    <row r="57" spans="1:35" x14ac:dyDescent="0.2">
      <c r="A57" t="s">
        <v>145</v>
      </c>
      <c r="B57" s="1">
        <v>41472</v>
      </c>
      <c r="C57" s="1">
        <v>44615</v>
      </c>
      <c r="D57" t="s">
        <v>134</v>
      </c>
      <c r="E57" t="s">
        <v>138</v>
      </c>
      <c r="F57" s="2">
        <v>227486.96</v>
      </c>
      <c r="G57" s="2">
        <v>45163</v>
      </c>
      <c r="H57" s="2">
        <v>165301</v>
      </c>
      <c r="I57" s="2" t="s">
        <v>39</v>
      </c>
      <c r="J57" s="2">
        <v>275</v>
      </c>
      <c r="K57" s="2" t="s">
        <v>103</v>
      </c>
      <c r="L57" s="2">
        <v>9325</v>
      </c>
      <c r="M57" s="2" t="s">
        <v>51</v>
      </c>
      <c r="N57" s="2">
        <v>8265</v>
      </c>
      <c r="O57" s="2" t="s">
        <v>42</v>
      </c>
      <c r="P57" s="2">
        <v>0</v>
      </c>
      <c r="Q57" s="2" t="s">
        <v>43</v>
      </c>
      <c r="R57" s="2">
        <v>11374</v>
      </c>
      <c r="S57" s="2">
        <v>13274</v>
      </c>
      <c r="T57" s="2">
        <v>-1900</v>
      </c>
      <c r="U57" s="2">
        <v>275</v>
      </c>
      <c r="V57" s="2" t="s">
        <v>136</v>
      </c>
      <c r="W57" s="2">
        <v>6824</v>
      </c>
      <c r="X57" s="2">
        <v>0</v>
      </c>
      <c r="Y57" s="2">
        <v>6824</v>
      </c>
      <c r="Z57" s="2">
        <v>0</v>
      </c>
      <c r="AA57" s="2" t="s">
        <v>45</v>
      </c>
      <c r="AB57" s="2">
        <v>4549</v>
      </c>
      <c r="AC57" s="2">
        <v>78242</v>
      </c>
      <c r="AD57" s="2">
        <v>-73693</v>
      </c>
      <c r="AG57" s="2">
        <v>7025</v>
      </c>
      <c r="AH57" s="2" t="s">
        <v>139</v>
      </c>
      <c r="AI57" s="2" t="b">
        <v>0</v>
      </c>
    </row>
    <row r="58" spans="1:35" x14ac:dyDescent="0.2">
      <c r="A58" t="s">
        <v>146</v>
      </c>
      <c r="B58" s="1">
        <v>41472</v>
      </c>
      <c r="C58" s="1">
        <v>44615</v>
      </c>
      <c r="D58" t="s">
        <v>134</v>
      </c>
      <c r="E58" t="s">
        <v>138</v>
      </c>
      <c r="F58" s="2">
        <v>227788.53</v>
      </c>
      <c r="G58" s="2">
        <v>159243</v>
      </c>
      <c r="H58" s="2">
        <v>156702</v>
      </c>
      <c r="I58" s="2" t="s">
        <v>39</v>
      </c>
      <c r="J58" s="2">
        <v>261</v>
      </c>
      <c r="K58" s="2" t="s">
        <v>103</v>
      </c>
      <c r="L58" s="2">
        <v>39175</v>
      </c>
      <c r="M58" s="2" t="s">
        <v>51</v>
      </c>
      <c r="N58" s="2">
        <v>7835</v>
      </c>
      <c r="O58" s="2" t="s">
        <v>42</v>
      </c>
      <c r="P58" s="2">
        <v>0</v>
      </c>
      <c r="Q58" s="2" t="s">
        <v>43</v>
      </c>
      <c r="R58" s="2">
        <v>11389</v>
      </c>
      <c r="S58" s="2">
        <v>12580</v>
      </c>
      <c r="T58" s="2">
        <v>-1191</v>
      </c>
      <c r="U58" s="2">
        <v>261</v>
      </c>
      <c r="V58" s="2" t="s">
        <v>136</v>
      </c>
      <c r="W58" s="2">
        <v>6833</v>
      </c>
      <c r="X58" s="2">
        <v>0</v>
      </c>
      <c r="Y58" s="2">
        <v>6833</v>
      </c>
      <c r="Z58" s="2">
        <v>3205</v>
      </c>
      <c r="AA58" s="2" t="s">
        <v>45</v>
      </c>
      <c r="AB58" s="2">
        <v>4555</v>
      </c>
      <c r="AC58" s="2">
        <v>55965</v>
      </c>
      <c r="AD58" s="2">
        <v>-51410</v>
      </c>
      <c r="AG58" s="2">
        <v>6672</v>
      </c>
      <c r="AH58" s="2" t="s">
        <v>139</v>
      </c>
      <c r="AI58" s="2" t="b">
        <v>0</v>
      </c>
    </row>
    <row r="59" spans="1:35" x14ac:dyDescent="0.2">
      <c r="A59" t="s">
        <v>147</v>
      </c>
      <c r="B59" s="1">
        <v>41418</v>
      </c>
      <c r="C59" s="1">
        <v>44615</v>
      </c>
      <c r="D59" t="s">
        <v>134</v>
      </c>
      <c r="E59" t="s">
        <v>135</v>
      </c>
      <c r="F59" s="2">
        <v>209680.3</v>
      </c>
      <c r="G59" s="2">
        <v>198238</v>
      </c>
      <c r="H59" s="2">
        <v>142512</v>
      </c>
      <c r="I59" s="2" t="s">
        <v>39</v>
      </c>
      <c r="J59" s="2">
        <v>237</v>
      </c>
      <c r="K59" s="2" t="s">
        <v>103</v>
      </c>
      <c r="L59" s="2">
        <v>35628</v>
      </c>
      <c r="M59" s="2" t="s">
        <v>51</v>
      </c>
      <c r="N59" s="2">
        <v>7125</v>
      </c>
      <c r="O59" s="2" t="s">
        <v>42</v>
      </c>
      <c r="P59" s="2">
        <v>0</v>
      </c>
      <c r="Q59" s="2" t="s">
        <v>43</v>
      </c>
      <c r="R59" s="2">
        <v>10484</v>
      </c>
      <c r="S59" s="2">
        <v>11443</v>
      </c>
      <c r="T59" s="2">
        <v>-959</v>
      </c>
      <c r="U59" s="2">
        <v>237</v>
      </c>
      <c r="V59" s="2" t="s">
        <v>136</v>
      </c>
      <c r="W59" s="2">
        <v>6290</v>
      </c>
      <c r="X59" s="2">
        <v>0</v>
      </c>
      <c r="Y59" s="2">
        <v>6290</v>
      </c>
      <c r="Z59" s="2">
        <v>11876</v>
      </c>
      <c r="AA59" s="2" t="s">
        <v>45</v>
      </c>
      <c r="AB59" s="2">
        <v>4193</v>
      </c>
      <c r="AC59" s="2">
        <v>0</v>
      </c>
      <c r="AD59" s="2">
        <v>4193</v>
      </c>
      <c r="AI59" s="2" t="b">
        <v>0</v>
      </c>
    </row>
    <row r="60" spans="1:35" x14ac:dyDescent="0.2">
      <c r="A60" t="s">
        <v>148</v>
      </c>
      <c r="B60" s="1">
        <v>41382</v>
      </c>
      <c r="C60" s="1">
        <v>44615</v>
      </c>
      <c r="D60" t="s">
        <v>134</v>
      </c>
      <c r="E60" t="s">
        <v>138</v>
      </c>
      <c r="F60" s="2">
        <v>288205.5</v>
      </c>
      <c r="G60" s="2">
        <v>190310</v>
      </c>
      <c r="H60" s="2">
        <v>160537</v>
      </c>
      <c r="I60" s="2" t="s">
        <v>39</v>
      </c>
      <c r="J60" s="2">
        <v>267</v>
      </c>
      <c r="K60" s="2" t="s">
        <v>103</v>
      </c>
      <c r="L60" s="2">
        <v>33819</v>
      </c>
      <c r="M60" s="2" t="s">
        <v>51</v>
      </c>
      <c r="N60" s="2">
        <v>8026</v>
      </c>
      <c r="O60" s="2" t="s">
        <v>42</v>
      </c>
      <c r="P60" s="2">
        <v>0</v>
      </c>
      <c r="Q60" s="2" t="s">
        <v>43</v>
      </c>
      <c r="R60" s="2">
        <v>14410</v>
      </c>
      <c r="S60" s="2">
        <v>8264</v>
      </c>
      <c r="T60" s="2">
        <v>6146</v>
      </c>
      <c r="U60" s="2">
        <v>267</v>
      </c>
      <c r="V60" s="2" t="s">
        <v>136</v>
      </c>
      <c r="W60" s="2">
        <v>8646</v>
      </c>
      <c r="X60" s="2">
        <v>0</v>
      </c>
      <c r="Y60" s="2">
        <v>8646</v>
      </c>
      <c r="Z60" s="2">
        <v>3</v>
      </c>
      <c r="AA60" s="2" t="s">
        <v>45</v>
      </c>
      <c r="AB60" s="2">
        <v>5764</v>
      </c>
      <c r="AC60" s="2">
        <v>75970</v>
      </c>
      <c r="AD60" s="2">
        <v>-70206</v>
      </c>
      <c r="AG60" s="2">
        <v>0</v>
      </c>
      <c r="AH60" s="2" t="s">
        <v>139</v>
      </c>
      <c r="AI60" s="2" t="b">
        <v>0</v>
      </c>
    </row>
    <row r="61" spans="1:35" x14ac:dyDescent="0.2">
      <c r="A61" t="s">
        <v>149</v>
      </c>
      <c r="B61" s="1">
        <v>41480</v>
      </c>
      <c r="C61" s="1">
        <v>44615</v>
      </c>
      <c r="D61" t="s">
        <v>134</v>
      </c>
      <c r="E61" t="s">
        <v>142</v>
      </c>
      <c r="F61" s="2">
        <v>368925.68</v>
      </c>
      <c r="G61" s="2">
        <v>71667</v>
      </c>
      <c r="H61" s="2">
        <v>244456</v>
      </c>
      <c r="I61" s="2" t="s">
        <v>39</v>
      </c>
      <c r="J61" s="2">
        <v>407</v>
      </c>
      <c r="K61" s="2" t="s">
        <v>103</v>
      </c>
      <c r="L61" s="2">
        <v>1</v>
      </c>
      <c r="M61" s="2" t="s">
        <v>51</v>
      </c>
      <c r="N61" s="2">
        <v>12222</v>
      </c>
      <c r="O61" s="2" t="s">
        <v>42</v>
      </c>
      <c r="P61" s="2">
        <v>0</v>
      </c>
      <c r="Q61" s="2" t="s">
        <v>43</v>
      </c>
      <c r="R61" s="2">
        <v>18446</v>
      </c>
      <c r="S61" s="2">
        <v>12590</v>
      </c>
      <c r="T61" s="2">
        <v>5856</v>
      </c>
      <c r="U61" s="2">
        <v>407</v>
      </c>
      <c r="V61" s="2" t="s">
        <v>136</v>
      </c>
      <c r="W61" s="2">
        <v>11067</v>
      </c>
      <c r="X61" s="2">
        <v>0</v>
      </c>
      <c r="Y61" s="2">
        <v>11067</v>
      </c>
      <c r="Z61" s="2">
        <v>0</v>
      </c>
      <c r="AA61" s="2" t="s">
        <v>45</v>
      </c>
      <c r="AB61" s="2">
        <v>7378</v>
      </c>
      <c r="AC61" s="2">
        <v>115868</v>
      </c>
      <c r="AD61" s="2">
        <v>-108490</v>
      </c>
      <c r="AI61" s="2" t="b">
        <v>0</v>
      </c>
    </row>
    <row r="62" spans="1:35" hidden="1" x14ac:dyDescent="0.2">
      <c r="A62" t="s">
        <v>150</v>
      </c>
      <c r="B62" s="1">
        <v>44461</v>
      </c>
      <c r="C62" s="1">
        <v>44461</v>
      </c>
      <c r="D62" t="s">
        <v>37</v>
      </c>
      <c r="E62" t="s">
        <v>151</v>
      </c>
      <c r="F62" s="2">
        <v>608086.57999999996</v>
      </c>
      <c r="G62" s="2">
        <v>608087</v>
      </c>
      <c r="H62" s="2">
        <v>438342</v>
      </c>
      <c r="I62" s="2" t="s">
        <v>39</v>
      </c>
      <c r="J62" s="2">
        <v>730</v>
      </c>
      <c r="K62" s="2" t="s">
        <v>152</v>
      </c>
      <c r="L62" s="2">
        <v>109585</v>
      </c>
      <c r="M62" s="2" t="s">
        <v>153</v>
      </c>
      <c r="N62" s="2">
        <v>21917</v>
      </c>
      <c r="O62" s="2" t="s">
        <v>52</v>
      </c>
      <c r="P62" s="2">
        <v>3652</v>
      </c>
      <c r="Q62" s="2" t="s">
        <v>43</v>
      </c>
      <c r="R62" s="2">
        <v>30404</v>
      </c>
      <c r="S62" s="2">
        <v>0</v>
      </c>
      <c r="T62" s="2">
        <v>30404</v>
      </c>
      <c r="U62" s="2">
        <v>730</v>
      </c>
      <c r="V62" s="2" t="s">
        <v>54</v>
      </c>
      <c r="W62" s="2">
        <v>18242</v>
      </c>
      <c r="X62" s="2">
        <v>0</v>
      </c>
      <c r="Y62" s="2">
        <v>18242</v>
      </c>
      <c r="Z62" s="2">
        <v>36528</v>
      </c>
      <c r="AA62" s="2" t="s">
        <v>45</v>
      </c>
      <c r="AB62" s="2">
        <v>12161</v>
      </c>
      <c r="AC62" s="2">
        <v>0</v>
      </c>
      <c r="AD62" s="2">
        <v>12161</v>
      </c>
      <c r="AE62" s="2">
        <v>33587</v>
      </c>
      <c r="AF62" s="2" t="s">
        <v>75</v>
      </c>
      <c r="AI62" s="2" t="b">
        <v>0</v>
      </c>
    </row>
    <row r="63" spans="1:35" hidden="1" x14ac:dyDescent="0.2">
      <c r="A63" t="s">
        <v>154</v>
      </c>
      <c r="B63" s="1">
        <v>44464</v>
      </c>
      <c r="C63" s="1">
        <v>44829</v>
      </c>
      <c r="D63" t="s">
        <v>37</v>
      </c>
      <c r="E63" t="s">
        <v>106</v>
      </c>
      <c r="F63" s="2">
        <v>161881.95000000001</v>
      </c>
      <c r="G63" s="2">
        <v>144837</v>
      </c>
      <c r="H63" s="2">
        <v>127252</v>
      </c>
      <c r="I63" s="2" t="s">
        <v>39</v>
      </c>
      <c r="J63" s="2">
        <v>212</v>
      </c>
      <c r="K63" s="2" t="s">
        <v>152</v>
      </c>
      <c r="L63" s="2">
        <v>31813</v>
      </c>
      <c r="M63" s="2" t="s">
        <v>153</v>
      </c>
      <c r="N63" s="2">
        <v>6362</v>
      </c>
      <c r="O63" s="2" t="s">
        <v>42</v>
      </c>
      <c r="P63" s="2">
        <v>1060</v>
      </c>
      <c r="Q63" s="2" t="s">
        <v>43</v>
      </c>
      <c r="R63" s="2">
        <v>8094</v>
      </c>
      <c r="S63" s="2">
        <v>0</v>
      </c>
      <c r="T63" s="2">
        <v>8094</v>
      </c>
      <c r="U63" s="2">
        <v>212</v>
      </c>
      <c r="V63" s="2" t="s">
        <v>54</v>
      </c>
      <c r="W63" s="2">
        <v>4856</v>
      </c>
      <c r="X63" s="2">
        <v>0</v>
      </c>
      <c r="Y63" s="2">
        <v>4856</v>
      </c>
      <c r="Z63" s="2">
        <v>10604</v>
      </c>
      <c r="AA63" s="2" t="s">
        <v>89</v>
      </c>
      <c r="AB63" s="2">
        <v>3237</v>
      </c>
      <c r="AC63" s="2">
        <v>0</v>
      </c>
      <c r="AD63" s="2">
        <v>3237</v>
      </c>
      <c r="AE63" s="2">
        <v>1</v>
      </c>
      <c r="AF63" s="2" t="s">
        <v>46</v>
      </c>
      <c r="AI63" s="2" t="b">
        <v>0</v>
      </c>
    </row>
    <row r="64" spans="1:35" x14ac:dyDescent="0.2">
      <c r="A64" t="s">
        <v>155</v>
      </c>
      <c r="B64" s="1">
        <v>40961</v>
      </c>
      <c r="C64" s="1">
        <v>44615</v>
      </c>
      <c r="D64" t="s">
        <v>134</v>
      </c>
      <c r="E64" t="s">
        <v>142</v>
      </c>
      <c r="F64" s="2">
        <v>315152.15999999997</v>
      </c>
      <c r="G64" s="2">
        <v>31318</v>
      </c>
      <c r="H64" s="2">
        <v>188498</v>
      </c>
      <c r="I64" s="2" t="s">
        <v>39</v>
      </c>
      <c r="J64" s="2">
        <v>314</v>
      </c>
      <c r="K64" s="2" t="s">
        <v>103</v>
      </c>
      <c r="L64" s="2">
        <v>6524</v>
      </c>
      <c r="M64" s="2" t="s">
        <v>51</v>
      </c>
      <c r="N64" s="2">
        <v>9424</v>
      </c>
      <c r="O64" s="2" t="s">
        <v>42</v>
      </c>
      <c r="P64" s="2">
        <v>0</v>
      </c>
      <c r="Q64" s="2" t="s">
        <v>43</v>
      </c>
      <c r="R64" s="2">
        <v>15757</v>
      </c>
      <c r="S64" s="2">
        <v>10285</v>
      </c>
      <c r="T64" s="2">
        <v>5472</v>
      </c>
      <c r="U64" s="2">
        <v>314</v>
      </c>
      <c r="V64" s="2" t="s">
        <v>136</v>
      </c>
      <c r="W64" s="2">
        <v>9454</v>
      </c>
      <c r="X64" s="2">
        <v>0</v>
      </c>
      <c r="Y64" s="2">
        <v>9454</v>
      </c>
      <c r="Z64" s="2">
        <v>0</v>
      </c>
      <c r="AA64" s="2" t="s">
        <v>45</v>
      </c>
      <c r="AB64" s="2">
        <v>6303</v>
      </c>
      <c r="AC64" s="2">
        <v>89256</v>
      </c>
      <c r="AD64" s="2">
        <v>-82953</v>
      </c>
      <c r="AI64" s="2" t="b">
        <v>0</v>
      </c>
    </row>
    <row r="65" spans="1:35" hidden="1" x14ac:dyDescent="0.2">
      <c r="A65" t="s">
        <v>156</v>
      </c>
      <c r="B65" s="1">
        <v>44515</v>
      </c>
      <c r="C65" s="1">
        <v>44880</v>
      </c>
      <c r="D65" t="s">
        <v>37</v>
      </c>
      <c r="E65" t="s">
        <v>113</v>
      </c>
      <c r="F65" s="2">
        <v>127472.47</v>
      </c>
      <c r="G65" s="2">
        <v>127472</v>
      </c>
      <c r="H65" s="2">
        <v>91340</v>
      </c>
      <c r="I65" s="2" t="s">
        <v>39</v>
      </c>
      <c r="J65" s="2">
        <v>152</v>
      </c>
      <c r="K65" s="2" t="s">
        <v>103</v>
      </c>
      <c r="L65" s="2">
        <v>22835</v>
      </c>
      <c r="M65" s="2" t="s">
        <v>104</v>
      </c>
      <c r="N65" s="2">
        <v>4567</v>
      </c>
      <c r="O65" s="2" t="s">
        <v>52</v>
      </c>
      <c r="P65" s="2">
        <v>761</v>
      </c>
      <c r="Q65" s="2" t="s">
        <v>43</v>
      </c>
      <c r="R65" s="2">
        <v>6373</v>
      </c>
      <c r="S65" s="2">
        <v>0</v>
      </c>
      <c r="T65" s="2">
        <v>6373</v>
      </c>
      <c r="U65" s="2">
        <v>152</v>
      </c>
      <c r="V65" s="2" t="s">
        <v>54</v>
      </c>
      <c r="W65" s="2">
        <v>3824</v>
      </c>
      <c r="X65" s="2">
        <v>0</v>
      </c>
      <c r="Y65" s="2">
        <v>3824</v>
      </c>
      <c r="Z65" s="2">
        <v>7611</v>
      </c>
      <c r="AA65" s="2" t="s">
        <v>62</v>
      </c>
      <c r="AB65" s="2">
        <v>2549</v>
      </c>
      <c r="AC65" s="2">
        <v>0</v>
      </c>
      <c r="AD65" s="2">
        <v>2549</v>
      </c>
      <c r="AE65" s="2">
        <v>8452</v>
      </c>
      <c r="AF65" s="2" t="s">
        <v>46</v>
      </c>
      <c r="AI65" s="2" t="b">
        <v>0</v>
      </c>
    </row>
    <row r="66" spans="1:35" hidden="1" x14ac:dyDescent="0.2">
      <c r="A66" t="s">
        <v>157</v>
      </c>
      <c r="B66" s="1">
        <v>44518</v>
      </c>
      <c r="C66" s="1">
        <v>44883</v>
      </c>
      <c r="D66" t="s">
        <v>37</v>
      </c>
      <c r="E66" t="s">
        <v>151</v>
      </c>
      <c r="F66" s="2">
        <v>378240.86</v>
      </c>
      <c r="G66" s="2">
        <v>378241</v>
      </c>
      <c r="H66" s="2">
        <v>340033</v>
      </c>
      <c r="I66" s="2" t="s">
        <v>39</v>
      </c>
      <c r="J66" s="2">
        <v>566</v>
      </c>
      <c r="K66" s="2" t="s">
        <v>103</v>
      </c>
      <c r="L66" s="2">
        <v>85008</v>
      </c>
      <c r="M66" s="2" t="s">
        <v>104</v>
      </c>
      <c r="N66" s="2">
        <v>17001</v>
      </c>
      <c r="O66" s="2" t="s">
        <v>52</v>
      </c>
      <c r="P66" s="2">
        <v>2833</v>
      </c>
      <c r="Q66" s="2" t="s">
        <v>43</v>
      </c>
      <c r="R66" s="2">
        <v>18912</v>
      </c>
      <c r="S66" s="2">
        <v>0</v>
      </c>
      <c r="T66" s="2">
        <v>18912</v>
      </c>
      <c r="U66" s="2">
        <v>566</v>
      </c>
      <c r="V66" s="2" t="s">
        <v>54</v>
      </c>
      <c r="W66" s="2">
        <v>11347</v>
      </c>
      <c r="X66" s="2">
        <v>0</v>
      </c>
      <c r="Y66" s="2">
        <v>11347</v>
      </c>
      <c r="Z66" s="2">
        <v>28336</v>
      </c>
      <c r="AA66" s="2" t="s">
        <v>45</v>
      </c>
      <c r="AB66" s="2">
        <v>7564</v>
      </c>
      <c r="AC66" s="2">
        <v>0</v>
      </c>
      <c r="AD66" s="2">
        <v>7564</v>
      </c>
      <c r="AE66" s="2">
        <v>25248</v>
      </c>
      <c r="AF66" s="2" t="s">
        <v>46</v>
      </c>
      <c r="AI66" s="2" t="b">
        <v>0</v>
      </c>
    </row>
    <row r="67" spans="1:35" x14ac:dyDescent="0.2">
      <c r="A67" t="s">
        <v>158</v>
      </c>
      <c r="B67" s="1">
        <v>40863</v>
      </c>
      <c r="C67" s="1">
        <v>44615</v>
      </c>
      <c r="D67" t="s">
        <v>134</v>
      </c>
      <c r="E67" t="s">
        <v>142</v>
      </c>
      <c r="F67" s="2">
        <v>215411.73</v>
      </c>
      <c r="G67" s="2">
        <v>15272</v>
      </c>
      <c r="H67" s="2">
        <v>121058</v>
      </c>
      <c r="I67" s="2" t="s">
        <v>39</v>
      </c>
      <c r="J67" s="2">
        <v>201</v>
      </c>
      <c r="K67" s="2" t="s">
        <v>103</v>
      </c>
      <c r="L67" s="2">
        <v>1094</v>
      </c>
      <c r="M67" s="2" t="s">
        <v>51</v>
      </c>
      <c r="N67" s="2">
        <v>6052</v>
      </c>
      <c r="O67" s="2" t="s">
        <v>42</v>
      </c>
      <c r="P67" s="2">
        <v>0</v>
      </c>
      <c r="Q67" s="2" t="s">
        <v>43</v>
      </c>
      <c r="R67" s="2">
        <v>10770</v>
      </c>
      <c r="S67" s="2">
        <v>6230</v>
      </c>
      <c r="T67" s="2">
        <v>4540</v>
      </c>
      <c r="U67" s="2">
        <v>201</v>
      </c>
      <c r="V67" s="2" t="s">
        <v>136</v>
      </c>
      <c r="W67" s="2">
        <v>6462</v>
      </c>
      <c r="X67" s="2">
        <v>0</v>
      </c>
      <c r="Y67" s="2">
        <v>6462</v>
      </c>
      <c r="Z67" s="2">
        <v>0</v>
      </c>
      <c r="AA67" s="2" t="s">
        <v>45</v>
      </c>
      <c r="AB67" s="2">
        <v>4308</v>
      </c>
      <c r="AC67" s="2">
        <v>57300</v>
      </c>
      <c r="AD67" s="2">
        <v>-52992</v>
      </c>
      <c r="AI67" s="2" t="b">
        <v>0</v>
      </c>
    </row>
    <row r="68" spans="1:35" hidden="1" x14ac:dyDescent="0.2">
      <c r="A68" t="s">
        <v>159</v>
      </c>
      <c r="B68" s="1">
        <v>44523</v>
      </c>
      <c r="C68" s="1">
        <v>44888</v>
      </c>
      <c r="D68" t="s">
        <v>37</v>
      </c>
      <c r="E68" t="s">
        <v>160</v>
      </c>
      <c r="F68" s="2">
        <v>503733.71</v>
      </c>
      <c r="G68" s="2">
        <v>503734</v>
      </c>
      <c r="H68" s="2">
        <v>51432</v>
      </c>
      <c r="I68" s="2" t="s">
        <v>39</v>
      </c>
      <c r="J68" s="2">
        <v>85</v>
      </c>
      <c r="K68" s="2" t="s">
        <v>103</v>
      </c>
      <c r="L68" s="2">
        <v>12858</v>
      </c>
      <c r="M68" s="2" t="s">
        <v>51</v>
      </c>
      <c r="N68" s="2">
        <v>2571</v>
      </c>
      <c r="O68" s="2" t="s">
        <v>42</v>
      </c>
      <c r="P68" s="2">
        <v>428</v>
      </c>
      <c r="Q68" s="2" t="s">
        <v>43</v>
      </c>
      <c r="R68" s="2">
        <v>25186</v>
      </c>
      <c r="S68" s="2">
        <v>0</v>
      </c>
      <c r="T68" s="2">
        <v>25186</v>
      </c>
      <c r="U68" s="2">
        <v>85</v>
      </c>
      <c r="V68" s="2" t="s">
        <v>136</v>
      </c>
      <c r="W68" s="2">
        <v>15112</v>
      </c>
      <c r="X68" s="2">
        <v>0</v>
      </c>
      <c r="Y68" s="2">
        <v>15112</v>
      </c>
      <c r="Z68" s="2">
        <v>4286</v>
      </c>
      <c r="AA68" s="2" t="s">
        <v>45</v>
      </c>
      <c r="AB68" s="2">
        <v>10074</v>
      </c>
      <c r="AC68" s="2">
        <v>0</v>
      </c>
      <c r="AD68" s="2">
        <v>10074</v>
      </c>
      <c r="AI68" s="2" t="b">
        <v>0</v>
      </c>
    </row>
    <row r="69" spans="1:35" hidden="1" x14ac:dyDescent="0.2">
      <c r="A69" t="s">
        <v>161</v>
      </c>
      <c r="B69" s="1">
        <v>44439</v>
      </c>
      <c r="C69" s="1">
        <v>44804</v>
      </c>
      <c r="D69" t="s">
        <v>37</v>
      </c>
      <c r="E69" t="s">
        <v>124</v>
      </c>
      <c r="F69" s="2">
        <v>268307.77</v>
      </c>
      <c r="G69" s="2">
        <v>268308</v>
      </c>
      <c r="H69" s="2">
        <v>16232</v>
      </c>
      <c r="I69" s="2" t="s">
        <v>39</v>
      </c>
      <c r="J69" s="2">
        <v>27</v>
      </c>
      <c r="K69" s="2" t="s">
        <v>103</v>
      </c>
      <c r="L69" s="2">
        <v>4058</v>
      </c>
      <c r="M69" s="2" t="s">
        <v>104</v>
      </c>
      <c r="N69" s="2">
        <v>811</v>
      </c>
      <c r="O69" s="2" t="s">
        <v>42</v>
      </c>
      <c r="P69" s="2">
        <v>135</v>
      </c>
      <c r="Q69" s="2" t="s">
        <v>43</v>
      </c>
      <c r="R69" s="2">
        <v>13415</v>
      </c>
      <c r="S69" s="2">
        <v>0</v>
      </c>
      <c r="T69" s="2">
        <v>13415</v>
      </c>
      <c r="U69" s="2">
        <v>27</v>
      </c>
      <c r="V69" s="2" t="s">
        <v>136</v>
      </c>
      <c r="W69" s="2">
        <v>8049</v>
      </c>
      <c r="X69" s="2">
        <v>0</v>
      </c>
      <c r="Y69" s="2">
        <v>8049</v>
      </c>
      <c r="Z69" s="2">
        <v>1352</v>
      </c>
      <c r="AA69" s="2" t="s">
        <v>45</v>
      </c>
      <c r="AB69" s="2">
        <v>5366</v>
      </c>
      <c r="AC69" s="2">
        <v>0</v>
      </c>
      <c r="AD69" s="2">
        <v>5366</v>
      </c>
      <c r="AI69" s="2" t="b">
        <v>0</v>
      </c>
    </row>
    <row r="70" spans="1:35" hidden="1" x14ac:dyDescent="0.2">
      <c r="A70" t="s">
        <v>162</v>
      </c>
      <c r="B70" s="1">
        <v>44533</v>
      </c>
      <c r="C70" s="1">
        <v>44898</v>
      </c>
      <c r="D70" t="s">
        <v>37</v>
      </c>
      <c r="E70" t="s">
        <v>72</v>
      </c>
      <c r="F70" s="2">
        <v>272883.08</v>
      </c>
      <c r="G70" s="2">
        <v>272883</v>
      </c>
      <c r="H70" s="2">
        <v>186103</v>
      </c>
      <c r="I70" s="2" t="s">
        <v>39</v>
      </c>
      <c r="J70" s="2">
        <v>310</v>
      </c>
      <c r="K70" s="2" t="s">
        <v>103</v>
      </c>
      <c r="L70" s="2">
        <v>46525</v>
      </c>
      <c r="M70" s="2" t="s">
        <v>104</v>
      </c>
      <c r="N70" s="2">
        <v>9305</v>
      </c>
      <c r="O70" s="2" t="s">
        <v>52</v>
      </c>
      <c r="P70" s="2">
        <v>1550</v>
      </c>
      <c r="Q70" s="2" t="s">
        <v>43</v>
      </c>
      <c r="R70" s="2">
        <v>13644</v>
      </c>
      <c r="S70" s="2">
        <v>0</v>
      </c>
      <c r="T70" s="2">
        <v>13644</v>
      </c>
      <c r="U70" s="2">
        <v>310</v>
      </c>
      <c r="V70" s="2" t="s">
        <v>54</v>
      </c>
      <c r="W70" s="2">
        <v>8186</v>
      </c>
      <c r="X70" s="2">
        <v>0</v>
      </c>
      <c r="Y70" s="2">
        <v>8186</v>
      </c>
      <c r="Z70" s="2">
        <v>15508</v>
      </c>
      <c r="AA70" s="2" t="s">
        <v>45</v>
      </c>
      <c r="AB70" s="2">
        <v>5457</v>
      </c>
      <c r="AC70" s="2">
        <v>0</v>
      </c>
      <c r="AD70" s="2">
        <v>5457</v>
      </c>
      <c r="AE70" s="2">
        <v>22130</v>
      </c>
      <c r="AF70" s="2" t="s">
        <v>46</v>
      </c>
      <c r="AI70" s="2" t="b">
        <v>0</v>
      </c>
    </row>
    <row r="71" spans="1:35" hidden="1" x14ac:dyDescent="0.2">
      <c r="A71" t="s">
        <v>163</v>
      </c>
      <c r="B71" s="1">
        <v>44533</v>
      </c>
      <c r="C71" s="1">
        <v>44898</v>
      </c>
      <c r="D71" t="s">
        <v>37</v>
      </c>
      <c r="E71" t="s">
        <v>72</v>
      </c>
      <c r="F71" s="2">
        <v>317255.59999999998</v>
      </c>
      <c r="G71" s="2">
        <v>317256</v>
      </c>
      <c r="H71" s="2">
        <v>189176</v>
      </c>
      <c r="I71" s="2" t="s">
        <v>39</v>
      </c>
      <c r="J71" s="2">
        <v>315</v>
      </c>
      <c r="K71" s="2" t="s">
        <v>103</v>
      </c>
      <c r="L71" s="2">
        <v>47294</v>
      </c>
      <c r="M71" s="2" t="s">
        <v>51</v>
      </c>
      <c r="N71" s="2">
        <v>9458</v>
      </c>
      <c r="O71" s="2" t="s">
        <v>42</v>
      </c>
      <c r="P71" s="2">
        <v>1576</v>
      </c>
      <c r="Q71" s="2" t="s">
        <v>43</v>
      </c>
      <c r="R71" s="2">
        <v>15862</v>
      </c>
      <c r="S71" s="2">
        <v>0</v>
      </c>
      <c r="T71" s="2">
        <v>15862</v>
      </c>
      <c r="U71" s="2">
        <v>315</v>
      </c>
      <c r="V71" s="2" t="s">
        <v>136</v>
      </c>
      <c r="W71" s="2">
        <v>9517</v>
      </c>
      <c r="X71" s="2">
        <v>0</v>
      </c>
      <c r="Y71" s="2">
        <v>9517</v>
      </c>
      <c r="Z71" s="2">
        <v>15764</v>
      </c>
      <c r="AA71" s="2" t="s">
        <v>45</v>
      </c>
      <c r="AB71" s="2">
        <v>6345</v>
      </c>
      <c r="AC71" s="2">
        <v>0</v>
      </c>
      <c r="AD71" s="2">
        <v>6345</v>
      </c>
      <c r="AI71" s="2" t="b">
        <v>0</v>
      </c>
    </row>
    <row r="72" spans="1:35" hidden="1" x14ac:dyDescent="0.2">
      <c r="A72" t="s">
        <v>164</v>
      </c>
      <c r="B72" s="1">
        <v>44552</v>
      </c>
      <c r="C72" s="1">
        <v>44917</v>
      </c>
      <c r="D72" t="s">
        <v>37</v>
      </c>
      <c r="E72" t="s">
        <v>102</v>
      </c>
      <c r="F72" s="2">
        <v>212198.39</v>
      </c>
      <c r="G72" s="2">
        <v>212198</v>
      </c>
      <c r="H72" s="2">
        <v>167792</v>
      </c>
      <c r="I72" s="2" t="s">
        <v>39</v>
      </c>
      <c r="J72" s="2">
        <v>279</v>
      </c>
      <c r="K72" s="2" t="s">
        <v>103</v>
      </c>
      <c r="L72" s="2">
        <v>41948</v>
      </c>
      <c r="M72" s="2" t="s">
        <v>104</v>
      </c>
      <c r="N72" s="2">
        <v>8389</v>
      </c>
      <c r="O72" s="2" t="s">
        <v>42</v>
      </c>
      <c r="P72" s="2">
        <v>1398</v>
      </c>
      <c r="Q72" s="2" t="s">
        <v>43</v>
      </c>
      <c r="R72" s="2">
        <v>10609</v>
      </c>
      <c r="S72" s="2">
        <v>0</v>
      </c>
      <c r="T72" s="2">
        <v>10609</v>
      </c>
      <c r="U72" s="2">
        <v>279</v>
      </c>
      <c r="V72" s="2" t="s">
        <v>54</v>
      </c>
      <c r="W72" s="2">
        <v>6365</v>
      </c>
      <c r="X72" s="2">
        <v>0</v>
      </c>
      <c r="Y72" s="2">
        <v>6365</v>
      </c>
      <c r="Z72" s="2">
        <v>13982</v>
      </c>
      <c r="AA72" s="2" t="s">
        <v>45</v>
      </c>
      <c r="AB72" s="2">
        <v>4243</v>
      </c>
      <c r="AC72" s="2">
        <v>0</v>
      </c>
      <c r="AD72" s="2">
        <v>4243</v>
      </c>
      <c r="AE72" s="2">
        <v>20276</v>
      </c>
      <c r="AF72" s="2" t="s">
        <v>46</v>
      </c>
      <c r="AI72" s="2" t="b">
        <v>0</v>
      </c>
    </row>
    <row r="73" spans="1:35" hidden="1" x14ac:dyDescent="0.2">
      <c r="A73" t="s">
        <v>165</v>
      </c>
      <c r="B73" s="1">
        <v>44559</v>
      </c>
      <c r="C73" s="1">
        <v>44924</v>
      </c>
      <c r="D73" t="s">
        <v>37</v>
      </c>
      <c r="E73" t="s">
        <v>49</v>
      </c>
      <c r="F73" s="2">
        <v>571696.74</v>
      </c>
      <c r="G73" s="2">
        <v>571697</v>
      </c>
      <c r="H73" s="2">
        <v>430820</v>
      </c>
      <c r="I73" s="2" t="s">
        <v>39</v>
      </c>
      <c r="J73" s="2">
        <v>718</v>
      </c>
      <c r="K73" s="2" t="s">
        <v>103</v>
      </c>
      <c r="L73" s="2">
        <v>107705</v>
      </c>
      <c r="M73" s="2" t="s">
        <v>104</v>
      </c>
      <c r="N73" s="2">
        <v>21541</v>
      </c>
      <c r="O73" s="2" t="s">
        <v>42</v>
      </c>
      <c r="P73" s="2">
        <v>3590</v>
      </c>
      <c r="Q73" s="2" t="s">
        <v>43</v>
      </c>
      <c r="R73" s="2">
        <v>28584</v>
      </c>
      <c r="S73" s="2">
        <v>0</v>
      </c>
      <c r="T73" s="2">
        <v>28584</v>
      </c>
      <c r="U73" s="2">
        <v>718</v>
      </c>
      <c r="V73" s="2" t="s">
        <v>54</v>
      </c>
      <c r="W73" s="2">
        <v>17150</v>
      </c>
      <c r="X73" s="2">
        <v>0</v>
      </c>
      <c r="Y73" s="2">
        <v>17150</v>
      </c>
      <c r="Z73" s="2">
        <v>35901</v>
      </c>
      <c r="AA73" s="2" t="s">
        <v>89</v>
      </c>
      <c r="AB73" s="2">
        <v>11433</v>
      </c>
      <c r="AC73" s="2">
        <v>0</v>
      </c>
      <c r="AD73" s="2">
        <v>11433</v>
      </c>
      <c r="AE73" s="2">
        <v>40130</v>
      </c>
      <c r="AF73" s="2" t="s">
        <v>46</v>
      </c>
      <c r="AI73" s="2" t="b">
        <v>0</v>
      </c>
    </row>
    <row r="74" spans="1:35" hidden="1" x14ac:dyDescent="0.2">
      <c r="A74" t="s">
        <v>166</v>
      </c>
      <c r="B74" s="1">
        <v>44559</v>
      </c>
      <c r="C74" s="1">
        <v>44924</v>
      </c>
      <c r="D74" t="s">
        <v>37</v>
      </c>
      <c r="E74" t="s">
        <v>49</v>
      </c>
      <c r="F74" s="2">
        <v>598898.02</v>
      </c>
      <c r="G74" s="2">
        <v>598898</v>
      </c>
      <c r="H74" s="2">
        <v>425316</v>
      </c>
      <c r="I74" s="2" t="s">
        <v>39</v>
      </c>
      <c r="J74" s="2">
        <v>708</v>
      </c>
      <c r="K74" s="2" t="s">
        <v>103</v>
      </c>
      <c r="L74" s="2">
        <v>106329</v>
      </c>
      <c r="M74" s="2" t="s">
        <v>104</v>
      </c>
      <c r="N74" s="2">
        <v>21265</v>
      </c>
      <c r="O74" s="2" t="s">
        <v>42</v>
      </c>
      <c r="P74" s="2">
        <v>3544</v>
      </c>
      <c r="Q74" s="2" t="s">
        <v>43</v>
      </c>
      <c r="R74" s="2">
        <v>29944</v>
      </c>
      <c r="S74" s="2">
        <v>0</v>
      </c>
      <c r="T74" s="2">
        <v>29944</v>
      </c>
      <c r="U74" s="2">
        <v>708</v>
      </c>
      <c r="V74" s="2" t="s">
        <v>54</v>
      </c>
      <c r="W74" s="2">
        <v>17966</v>
      </c>
      <c r="X74" s="2">
        <v>0</v>
      </c>
      <c r="Y74" s="2">
        <v>17966</v>
      </c>
      <c r="Z74" s="2">
        <v>35443</v>
      </c>
      <c r="AA74" s="2" t="s">
        <v>89</v>
      </c>
      <c r="AB74" s="2">
        <v>11977</v>
      </c>
      <c r="AC74" s="2">
        <v>0</v>
      </c>
      <c r="AD74" s="2">
        <v>11977</v>
      </c>
      <c r="AE74" s="2">
        <v>56069</v>
      </c>
      <c r="AF74" s="2" t="s">
        <v>46</v>
      </c>
      <c r="AI74" s="2" t="b">
        <v>0</v>
      </c>
    </row>
    <row r="75" spans="1:35" hidden="1" x14ac:dyDescent="0.2">
      <c r="A75" t="s">
        <v>167</v>
      </c>
      <c r="B75" s="1">
        <v>44565</v>
      </c>
      <c r="C75" s="1">
        <v>44930</v>
      </c>
      <c r="D75" t="s">
        <v>37</v>
      </c>
      <c r="E75" t="s">
        <v>126</v>
      </c>
      <c r="F75" s="2">
        <v>63705.78</v>
      </c>
      <c r="G75" s="2">
        <v>63706</v>
      </c>
      <c r="H75" s="2">
        <v>33000</v>
      </c>
      <c r="I75" s="2" t="s">
        <v>39</v>
      </c>
      <c r="J75" s="2">
        <v>55</v>
      </c>
      <c r="K75" s="2" t="s">
        <v>103</v>
      </c>
      <c r="L75" s="2">
        <v>8250</v>
      </c>
      <c r="M75" s="2" t="s">
        <v>104</v>
      </c>
      <c r="N75" s="2">
        <v>1650</v>
      </c>
      <c r="O75" s="2" t="s">
        <v>52</v>
      </c>
      <c r="P75" s="2">
        <v>275</v>
      </c>
      <c r="Q75" s="2" t="s">
        <v>43</v>
      </c>
      <c r="R75" s="2">
        <v>3185</v>
      </c>
      <c r="S75" s="2">
        <v>0</v>
      </c>
      <c r="T75" s="2">
        <v>3185</v>
      </c>
      <c r="U75" s="2">
        <v>55</v>
      </c>
      <c r="V75" s="2" t="s">
        <v>54</v>
      </c>
      <c r="W75" s="2">
        <v>1911</v>
      </c>
      <c r="X75" s="2">
        <v>0</v>
      </c>
      <c r="Y75" s="2">
        <v>1911</v>
      </c>
      <c r="Z75" s="2">
        <v>2750</v>
      </c>
      <c r="AA75" s="2" t="s">
        <v>45</v>
      </c>
      <c r="AB75" s="2">
        <v>1274</v>
      </c>
      <c r="AC75" s="2">
        <v>0</v>
      </c>
      <c r="AD75" s="2">
        <v>1274</v>
      </c>
      <c r="AI75" s="2" t="b">
        <v>0</v>
      </c>
    </row>
    <row r="76" spans="1:35" hidden="1" x14ac:dyDescent="0.2">
      <c r="A76" t="s">
        <v>168</v>
      </c>
      <c r="B76" s="1">
        <v>44565</v>
      </c>
      <c r="C76" s="1">
        <v>44930</v>
      </c>
      <c r="D76" t="s">
        <v>37</v>
      </c>
      <c r="E76" t="s">
        <v>126</v>
      </c>
      <c r="F76" s="2">
        <v>18388.46</v>
      </c>
      <c r="G76" s="2">
        <v>18388</v>
      </c>
      <c r="H76" s="2">
        <v>12855</v>
      </c>
      <c r="I76" s="2" t="s">
        <v>39</v>
      </c>
      <c r="J76" s="2">
        <v>21</v>
      </c>
      <c r="K76" s="2" t="s">
        <v>103</v>
      </c>
      <c r="L76" s="2">
        <v>3213</v>
      </c>
      <c r="M76" s="2" t="s">
        <v>104</v>
      </c>
      <c r="N76" s="2">
        <v>642</v>
      </c>
      <c r="O76" s="2" t="s">
        <v>42</v>
      </c>
      <c r="P76" s="2">
        <v>107</v>
      </c>
      <c r="Q76" s="2" t="s">
        <v>43</v>
      </c>
      <c r="R76" s="2">
        <v>919</v>
      </c>
      <c r="S76" s="2">
        <v>0</v>
      </c>
      <c r="T76" s="2">
        <v>919</v>
      </c>
      <c r="U76" s="2">
        <v>21</v>
      </c>
      <c r="V76" s="2" t="s">
        <v>54</v>
      </c>
      <c r="W76" s="2">
        <v>551</v>
      </c>
      <c r="X76" s="2">
        <v>0</v>
      </c>
      <c r="Y76" s="2">
        <v>551</v>
      </c>
      <c r="Z76" s="2">
        <v>1071</v>
      </c>
      <c r="AA76" s="2" t="s">
        <v>45</v>
      </c>
      <c r="AB76" s="2">
        <v>367</v>
      </c>
      <c r="AC76" s="2">
        <v>0</v>
      </c>
      <c r="AD76" s="2">
        <v>367</v>
      </c>
      <c r="AI76" s="2" t="b">
        <v>0</v>
      </c>
    </row>
  </sheetData>
  <autoFilter ref="A1:AJ76">
    <filterColumn colId="3">
      <filters>
        <filter val="098/2009"/>
      </filters>
    </filterColumn>
  </autoFilter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4"/>
  <sheetViews>
    <sheetView tabSelected="1" workbookViewId="0">
      <selection sqref="A1:N14"/>
    </sheetView>
  </sheetViews>
  <sheetFormatPr baseColWidth="10" defaultRowHeight="16" x14ac:dyDescent="0.2"/>
  <cols>
    <col min="1" max="1" width="11.6640625" bestFit="1" customWidth="1"/>
    <col min="2" max="3" width="8.83203125" bestFit="1" customWidth="1"/>
    <col min="4" max="4" width="9.33203125" customWidth="1"/>
    <col min="5" max="5" width="13" hidden="1" customWidth="1"/>
    <col min="6" max="6" width="13" bestFit="1" customWidth="1"/>
    <col min="7" max="8" width="12" bestFit="1" customWidth="1"/>
    <col min="9" max="9" width="13" bestFit="1" customWidth="1"/>
    <col min="10" max="10" width="10.5" bestFit="1" customWidth="1"/>
    <col min="11" max="12" width="12" bestFit="1" customWidth="1"/>
    <col min="13" max="13" width="14" bestFit="1" customWidth="1"/>
    <col min="14" max="14" width="12" bestFit="1" customWidth="1"/>
  </cols>
  <sheetData>
    <row r="1" spans="1:14" x14ac:dyDescent="0.2">
      <c r="A1" s="3" t="s">
        <v>0</v>
      </c>
      <c r="B1" s="3" t="s">
        <v>1</v>
      </c>
      <c r="C1" s="3" t="s">
        <v>2</v>
      </c>
      <c r="D1" s="3" t="s">
        <v>4</v>
      </c>
      <c r="E1" s="4" t="s">
        <v>5</v>
      </c>
      <c r="F1" s="4" t="s">
        <v>6</v>
      </c>
      <c r="G1" s="4" t="s">
        <v>11</v>
      </c>
      <c r="H1" s="4" t="s">
        <v>169</v>
      </c>
      <c r="I1" s="4" t="s">
        <v>170</v>
      </c>
      <c r="J1" s="4" t="s">
        <v>25</v>
      </c>
      <c r="K1" s="4" t="s">
        <v>169</v>
      </c>
      <c r="L1" s="4" t="s">
        <v>170</v>
      </c>
      <c r="M1" s="4" t="s">
        <v>13</v>
      </c>
      <c r="N1" s="4" t="s">
        <v>171</v>
      </c>
    </row>
    <row r="2" spans="1:14" x14ac:dyDescent="0.2">
      <c r="A2" s="5" t="s">
        <v>133</v>
      </c>
      <c r="B2" s="6">
        <v>41486</v>
      </c>
      <c r="C2" s="6">
        <v>44615</v>
      </c>
      <c r="D2" s="5" t="s">
        <v>135</v>
      </c>
      <c r="E2" s="7">
        <v>332402.21000000002</v>
      </c>
      <c r="F2" s="7">
        <v>254017</v>
      </c>
      <c r="G2" s="7">
        <v>20000</v>
      </c>
      <c r="H2" s="7">
        <v>5</v>
      </c>
      <c r="I2" s="7">
        <f>H2*G2</f>
        <v>100000</v>
      </c>
      <c r="J2" s="7">
        <v>17115</v>
      </c>
      <c r="K2" s="7">
        <v>6</v>
      </c>
      <c r="L2" s="7">
        <f>K2*J2</f>
        <v>102690</v>
      </c>
      <c r="M2" s="7">
        <v>10269</v>
      </c>
      <c r="N2" s="7">
        <f>F2-I2-L2</f>
        <v>51327</v>
      </c>
    </row>
    <row r="3" spans="1:14" x14ac:dyDescent="0.2">
      <c r="A3" s="5" t="s">
        <v>137</v>
      </c>
      <c r="B3" s="6">
        <v>41456</v>
      </c>
      <c r="C3" s="6">
        <v>44615</v>
      </c>
      <c r="D3" s="5" t="s">
        <v>138</v>
      </c>
      <c r="E3" s="7">
        <v>236692.48000000001</v>
      </c>
      <c r="F3" s="7">
        <v>200035</v>
      </c>
      <c r="G3" s="7">
        <v>33972</v>
      </c>
      <c r="H3" s="7">
        <f>I3/G3</f>
        <v>4.8105204285882488</v>
      </c>
      <c r="I3" s="7">
        <f>F3-L3</f>
        <v>163423</v>
      </c>
      <c r="J3" s="7">
        <v>6102</v>
      </c>
      <c r="K3" s="7">
        <v>6</v>
      </c>
      <c r="L3" s="7">
        <f t="shared" ref="L3:L13" si="0">K3*J3</f>
        <v>36612</v>
      </c>
      <c r="M3" s="7">
        <v>6794</v>
      </c>
      <c r="N3" s="7">
        <f t="shared" ref="N3:N13" si="1">F3-I3-L3</f>
        <v>0</v>
      </c>
    </row>
    <row r="4" spans="1:14" x14ac:dyDescent="0.2">
      <c r="A4" s="5" t="s">
        <v>140</v>
      </c>
      <c r="B4" s="6">
        <v>41438</v>
      </c>
      <c r="C4" s="6">
        <v>44615</v>
      </c>
      <c r="D4" s="5" t="s">
        <v>138</v>
      </c>
      <c r="E4" s="7">
        <v>212925.25</v>
      </c>
      <c r="F4" s="7">
        <v>205774</v>
      </c>
      <c r="G4" s="7">
        <v>34721</v>
      </c>
      <c r="H4" s="7">
        <f>I4/G4</f>
        <v>3.9266150168485932</v>
      </c>
      <c r="I4" s="7">
        <f>F4-L4</f>
        <v>136336</v>
      </c>
      <c r="J4" s="7">
        <v>11573</v>
      </c>
      <c r="K4" s="7">
        <v>6</v>
      </c>
      <c r="L4" s="7">
        <f t="shared" si="0"/>
        <v>69438</v>
      </c>
      <c r="M4" s="7">
        <v>6944</v>
      </c>
      <c r="N4" s="7">
        <f t="shared" si="1"/>
        <v>0</v>
      </c>
    </row>
    <row r="5" spans="1:14" x14ac:dyDescent="0.2">
      <c r="A5" s="5" t="s">
        <v>141</v>
      </c>
      <c r="B5" s="6">
        <v>41297</v>
      </c>
      <c r="C5" s="6">
        <v>44615</v>
      </c>
      <c r="D5" s="5" t="s">
        <v>142</v>
      </c>
      <c r="E5" s="7">
        <v>342758.19</v>
      </c>
      <c r="F5" s="7">
        <v>52276</v>
      </c>
      <c r="G5" s="7">
        <v>13609</v>
      </c>
      <c r="H5" s="7">
        <f>I5/G5</f>
        <v>3.8412815048864721</v>
      </c>
      <c r="I5" s="7">
        <f>F5-L5</f>
        <v>52276</v>
      </c>
      <c r="J5" s="7">
        <v>0</v>
      </c>
      <c r="K5" s="7">
        <v>6</v>
      </c>
      <c r="L5" s="7">
        <f t="shared" si="0"/>
        <v>0</v>
      </c>
      <c r="M5" s="7">
        <v>10655</v>
      </c>
      <c r="N5" s="7">
        <f t="shared" si="1"/>
        <v>0</v>
      </c>
    </row>
    <row r="6" spans="1:14" x14ac:dyDescent="0.2">
      <c r="A6" s="5" t="s">
        <v>143</v>
      </c>
      <c r="B6" s="6">
        <v>41292</v>
      </c>
      <c r="C6" s="6">
        <v>44615</v>
      </c>
      <c r="D6" s="5" t="s">
        <v>135</v>
      </c>
      <c r="E6" s="7">
        <v>243798.07</v>
      </c>
      <c r="F6" s="7">
        <v>180284</v>
      </c>
      <c r="G6" s="7">
        <v>16440</v>
      </c>
      <c r="H6" s="7">
        <v>5</v>
      </c>
      <c r="I6" s="7">
        <f t="shared" ref="I3:I13" si="2">H6*G6</f>
        <v>82200</v>
      </c>
      <c r="J6" s="7">
        <v>13430</v>
      </c>
      <c r="K6" s="7">
        <v>6</v>
      </c>
      <c r="L6" s="7">
        <f t="shared" si="0"/>
        <v>80580</v>
      </c>
      <c r="M6" s="7">
        <v>8058</v>
      </c>
      <c r="N6" s="7">
        <f t="shared" si="1"/>
        <v>17504</v>
      </c>
    </row>
    <row r="7" spans="1:14" x14ac:dyDescent="0.2">
      <c r="A7" s="5" t="s">
        <v>145</v>
      </c>
      <c r="B7" s="6">
        <v>41472</v>
      </c>
      <c r="C7" s="6">
        <v>44615</v>
      </c>
      <c r="D7" s="5" t="s">
        <v>138</v>
      </c>
      <c r="E7" s="7">
        <v>227486.96</v>
      </c>
      <c r="F7" s="7">
        <v>45163</v>
      </c>
      <c r="G7" s="7">
        <v>9325</v>
      </c>
      <c r="H7" s="7">
        <f>I7/G7</f>
        <v>4.8432171581769436</v>
      </c>
      <c r="I7" s="7">
        <f>F7-L7</f>
        <v>45163</v>
      </c>
      <c r="J7" s="7">
        <v>0</v>
      </c>
      <c r="K7" s="7">
        <v>6</v>
      </c>
      <c r="L7" s="7">
        <f t="shared" si="0"/>
        <v>0</v>
      </c>
      <c r="M7" s="7">
        <v>8265</v>
      </c>
      <c r="N7" s="7">
        <f t="shared" si="1"/>
        <v>0</v>
      </c>
    </row>
    <row r="8" spans="1:14" x14ac:dyDescent="0.2">
      <c r="A8" s="5" t="s">
        <v>146</v>
      </c>
      <c r="B8" s="6">
        <v>41472</v>
      </c>
      <c r="C8" s="6">
        <v>44615</v>
      </c>
      <c r="D8" s="5" t="s">
        <v>138</v>
      </c>
      <c r="E8" s="7">
        <v>227788.53</v>
      </c>
      <c r="F8" s="7">
        <v>159243</v>
      </c>
      <c r="G8" s="7">
        <v>39175</v>
      </c>
      <c r="H8" s="7">
        <f>I8/G8</f>
        <v>3.5740395660497768</v>
      </c>
      <c r="I8" s="7">
        <f>F8-L8</f>
        <v>140013</v>
      </c>
      <c r="J8" s="7">
        <v>3205</v>
      </c>
      <c r="K8" s="7">
        <v>6</v>
      </c>
      <c r="L8" s="7">
        <f t="shared" si="0"/>
        <v>19230</v>
      </c>
      <c r="M8" s="7">
        <v>7835</v>
      </c>
      <c r="N8" s="7">
        <f t="shared" si="1"/>
        <v>0</v>
      </c>
    </row>
    <row r="9" spans="1:14" x14ac:dyDescent="0.2">
      <c r="A9" s="5" t="s">
        <v>147</v>
      </c>
      <c r="B9" s="6">
        <v>41418</v>
      </c>
      <c r="C9" s="6">
        <v>44615</v>
      </c>
      <c r="D9" s="5" t="s">
        <v>135</v>
      </c>
      <c r="E9" s="7">
        <v>209680.3</v>
      </c>
      <c r="F9" s="7">
        <v>198238</v>
      </c>
      <c r="G9" s="7">
        <v>35628</v>
      </c>
      <c r="H9" s="7">
        <f>I9/G9</f>
        <v>3.5641068822274615</v>
      </c>
      <c r="I9" s="7">
        <f>F9-L9</f>
        <v>126982</v>
      </c>
      <c r="J9" s="7">
        <v>11876</v>
      </c>
      <c r="K9" s="7">
        <v>6</v>
      </c>
      <c r="L9" s="7">
        <f t="shared" si="0"/>
        <v>71256</v>
      </c>
      <c r="M9" s="7">
        <v>7125</v>
      </c>
      <c r="N9" s="7">
        <f t="shared" si="1"/>
        <v>0</v>
      </c>
    </row>
    <row r="10" spans="1:14" x14ac:dyDescent="0.2">
      <c r="A10" s="5" t="s">
        <v>148</v>
      </c>
      <c r="B10" s="6">
        <v>41382</v>
      </c>
      <c r="C10" s="6">
        <v>44615</v>
      </c>
      <c r="D10" s="5" t="s">
        <v>138</v>
      </c>
      <c r="E10" s="7">
        <v>288205.5</v>
      </c>
      <c r="F10" s="7">
        <v>190310</v>
      </c>
      <c r="G10" s="7">
        <v>33819</v>
      </c>
      <c r="H10" s="7">
        <v>5</v>
      </c>
      <c r="I10" s="7">
        <f t="shared" si="2"/>
        <v>169095</v>
      </c>
      <c r="J10" s="7">
        <v>3</v>
      </c>
      <c r="K10" s="7">
        <v>6</v>
      </c>
      <c r="L10" s="7">
        <f t="shared" si="0"/>
        <v>18</v>
      </c>
      <c r="M10" s="7">
        <v>8026</v>
      </c>
      <c r="N10" s="7">
        <f t="shared" si="1"/>
        <v>21197</v>
      </c>
    </row>
    <row r="11" spans="1:14" x14ac:dyDescent="0.2">
      <c r="A11" s="5" t="s">
        <v>149</v>
      </c>
      <c r="B11" s="6">
        <v>41480</v>
      </c>
      <c r="C11" s="6">
        <v>44615</v>
      </c>
      <c r="D11" s="5" t="s">
        <v>142</v>
      </c>
      <c r="E11" s="7">
        <v>368925.68</v>
      </c>
      <c r="F11" s="7">
        <v>71667</v>
      </c>
      <c r="G11" s="7">
        <v>1</v>
      </c>
      <c r="H11" s="7">
        <v>5</v>
      </c>
      <c r="I11" s="7">
        <f t="shared" si="2"/>
        <v>5</v>
      </c>
      <c r="J11" s="7">
        <v>0</v>
      </c>
      <c r="K11" s="7">
        <v>6</v>
      </c>
      <c r="L11" s="7">
        <f t="shared" si="0"/>
        <v>0</v>
      </c>
      <c r="M11" s="7">
        <v>12222</v>
      </c>
      <c r="N11" s="7">
        <f t="shared" si="1"/>
        <v>71662</v>
      </c>
    </row>
    <row r="12" spans="1:14" x14ac:dyDescent="0.2">
      <c r="A12" s="5" t="s">
        <v>155</v>
      </c>
      <c r="B12" s="6">
        <v>40961</v>
      </c>
      <c r="C12" s="6">
        <v>44615</v>
      </c>
      <c r="D12" s="5" t="s">
        <v>142</v>
      </c>
      <c r="E12" s="7">
        <v>315152.15999999997</v>
      </c>
      <c r="F12" s="7">
        <v>31318</v>
      </c>
      <c r="G12" s="7">
        <v>6524</v>
      </c>
      <c r="H12" s="7">
        <f>I12/G12</f>
        <v>4.8004291845493565</v>
      </c>
      <c r="I12" s="7">
        <f>F12-L12</f>
        <v>31318</v>
      </c>
      <c r="J12" s="7">
        <v>0</v>
      </c>
      <c r="K12" s="7">
        <v>6</v>
      </c>
      <c r="L12" s="7">
        <f t="shared" si="0"/>
        <v>0</v>
      </c>
      <c r="M12" s="7">
        <v>9424</v>
      </c>
      <c r="N12" s="7">
        <f t="shared" si="1"/>
        <v>0</v>
      </c>
    </row>
    <row r="13" spans="1:14" x14ac:dyDescent="0.2">
      <c r="A13" s="5" t="s">
        <v>158</v>
      </c>
      <c r="B13" s="6">
        <v>40863</v>
      </c>
      <c r="C13" s="6">
        <v>44615</v>
      </c>
      <c r="D13" s="5" t="s">
        <v>142</v>
      </c>
      <c r="E13" s="7">
        <v>215411.73</v>
      </c>
      <c r="F13" s="7">
        <v>15272</v>
      </c>
      <c r="G13" s="7">
        <v>1094</v>
      </c>
      <c r="H13" s="7">
        <v>5</v>
      </c>
      <c r="I13" s="7">
        <f t="shared" si="2"/>
        <v>5470</v>
      </c>
      <c r="J13" s="7">
        <v>0</v>
      </c>
      <c r="K13" s="7">
        <v>6</v>
      </c>
      <c r="L13" s="7">
        <f t="shared" si="0"/>
        <v>0</v>
      </c>
      <c r="M13" s="7">
        <v>6052</v>
      </c>
      <c r="N13" s="7">
        <f t="shared" si="1"/>
        <v>9802</v>
      </c>
    </row>
    <row r="14" spans="1:14" x14ac:dyDescent="0.2">
      <c r="A14" s="5"/>
      <c r="B14" s="5"/>
      <c r="C14" s="5"/>
      <c r="D14" s="5"/>
      <c r="E14" s="8">
        <f>SUM(E2:E13)</f>
        <v>3221227.0600000005</v>
      </c>
      <c r="F14" s="8">
        <f>SUM(F2:F13)</f>
        <v>1603597</v>
      </c>
      <c r="G14" s="8">
        <f>SUM(G2:G13)</f>
        <v>244308</v>
      </c>
      <c r="H14" s="5"/>
      <c r="I14" s="8">
        <f>SUM(I2:I13)</f>
        <v>1052281</v>
      </c>
      <c r="J14" s="8">
        <f>SUM(J2:J13)</f>
        <v>63304</v>
      </c>
      <c r="K14" s="5"/>
      <c r="L14" s="8">
        <f>SUM(L2:L13)</f>
        <v>379824</v>
      </c>
      <c r="M14" s="8">
        <f>SUM(M2:M13)</f>
        <v>101669</v>
      </c>
      <c r="N14" s="8">
        <f>SUM(N2:N13)</f>
        <v>171492</v>
      </c>
    </row>
  </sheetData>
  <pageMargins left="0.25" right="0.25" top="0.75" bottom="0.75" header="0.3" footer="0.3"/>
  <pageSetup paperSize="9" scale="8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assorted_lived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Sottany</dc:creator>
  <cp:lastModifiedBy>Hardik Sottany</cp:lastModifiedBy>
  <cp:lastPrinted>2022-01-06T07:51:42Z</cp:lastPrinted>
  <dcterms:created xsi:type="dcterms:W3CDTF">2022-01-06T07:58:25Z</dcterms:created>
  <dcterms:modified xsi:type="dcterms:W3CDTF">2022-01-06T07:58:25Z</dcterms:modified>
</cp:coreProperties>
</file>